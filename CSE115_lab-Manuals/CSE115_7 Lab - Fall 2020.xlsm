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SU\Courses\CSE 115\Fall 2020\Section 7\"/>
    </mc:Choice>
  </mc:AlternateContent>
  <xr:revisionPtr revIDLastSave="0" documentId="13_ncr:1_{476F56E7-AA25-4C56-8C6C-98E4AB21E5CB}" xr6:coauthVersionLast="46" xr6:coauthVersionMax="46" xr10:uidLastSave="{00000000-0000-0000-0000-000000000000}"/>
  <bookViews>
    <workbookView xWindow="-120" yWindow="-120" windowWidth="21840" windowHeight="13140" xr2:uid="{00000000-000D-0000-FFFF-FFFF00000000}"/>
  </bookViews>
  <sheets>
    <sheet name="Sheet1" sheetId="3" r:id="rId1"/>
    <sheet name="Class Performance" sheetId="4" r:id="rId2"/>
    <sheet name="ABET" sheetId="5" r:id="rId3"/>
  </sheets>
  <definedNames>
    <definedName name="_xlnm.Print_Area" localSheetId="1">'Class Performance'!$B$1:$N$40</definedName>
    <definedName name="_xlnm.Print_Area" localSheetId="0">Sheet1!$B$1:$K$55</definedName>
    <definedName name="_xlnm.Print_Titles" localSheetId="1">'Class Performance'!$1:$1</definedName>
    <definedName name="_xlnm.Print_Titles" localSheetId="0">Sheet1!$1:$1</definedName>
  </definedNames>
  <calcPr calcId="181029"/>
</workbook>
</file>

<file path=xl/calcChain.xml><?xml version="1.0" encoding="utf-8"?>
<calcChain xmlns="http://schemas.openxmlformats.org/spreadsheetml/2006/main">
  <c r="E55" i="3" l="1"/>
  <c r="J6" i="3"/>
  <c r="J3" i="3"/>
  <c r="J4" i="3"/>
  <c r="J5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O14" i="3"/>
  <c r="M4" i="5" l="1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" i="5"/>
  <c r="C34" i="5"/>
</calcChain>
</file>

<file path=xl/sharedStrings.xml><?xml version="1.0" encoding="utf-8"?>
<sst xmlns="http://schemas.openxmlformats.org/spreadsheetml/2006/main" count="534" uniqueCount="247">
  <si>
    <t>Student ID</t>
  </si>
  <si>
    <t>Name</t>
  </si>
  <si>
    <t>Grade</t>
  </si>
  <si>
    <t>Total 
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</si>
  <si>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</si>
  <si>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</si>
  <si>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</si>
  <si>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</si>
  <si>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</si>
  <si>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</si>
  <si>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</si>
  <si>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</si>
  <si>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</si>
  <si>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</si>
  <si>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</si>
  <si>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</si>
  <si>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</si>
  <si>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</si>
  <si>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</si>
  <si>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</si>
  <si>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</si>
  <si>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</si>
  <si>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</si>
  <si>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</si>
  <si>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</si>
  <si>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</si>
  <si>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SL#</t>
  </si>
  <si>
    <t>23</t>
  </si>
  <si>
    <t>24</t>
  </si>
  <si>
    <t>25</t>
  </si>
  <si>
    <t>26</t>
  </si>
  <si>
    <t>27</t>
  </si>
  <si>
    <t>A</t>
  </si>
  <si>
    <t>A-</t>
  </si>
  <si>
    <t>B+</t>
  </si>
  <si>
    <t>B</t>
  </si>
  <si>
    <t>B-</t>
  </si>
  <si>
    <t>C+</t>
  </si>
  <si>
    <t>C</t>
  </si>
  <si>
    <t>C-</t>
  </si>
  <si>
    <t>D+</t>
  </si>
  <si>
    <t>D</t>
  </si>
  <si>
    <t>F</t>
  </si>
  <si>
    <t>93 and above</t>
  </si>
  <si>
    <t>90 - 92</t>
  </si>
  <si>
    <t>87 - 89</t>
  </si>
  <si>
    <t>83 - 86</t>
  </si>
  <si>
    <t>80 - 82</t>
  </si>
  <si>
    <t>77 - 79</t>
  </si>
  <si>
    <t>73 - 76</t>
  </si>
  <si>
    <t>70 - 72</t>
  </si>
  <si>
    <t>67 - 69</t>
  </si>
  <si>
    <t>60 - 66</t>
  </si>
  <si>
    <t>Below 60</t>
  </si>
  <si>
    <t>Total</t>
  </si>
  <si>
    <t>28</t>
  </si>
  <si>
    <t>29</t>
  </si>
  <si>
    <t>30</t>
  </si>
  <si>
    <t>31</t>
  </si>
  <si>
    <t>32</t>
  </si>
  <si>
    <t>33</t>
  </si>
  <si>
    <t>34</t>
  </si>
  <si>
    <t>35</t>
  </si>
  <si>
    <t>Q2</t>
  </si>
  <si>
    <t>Project</t>
  </si>
  <si>
    <t>H</t>
  </si>
  <si>
    <t>Q3</t>
  </si>
  <si>
    <t>L</t>
  </si>
  <si>
    <t>Student</t>
  </si>
  <si>
    <t>RAW Score
(15)</t>
  </si>
  <si>
    <t>% Marks
(100)</t>
  </si>
  <si>
    <t>Outcome</t>
  </si>
  <si>
    <t>RAW Score
(20)</t>
  </si>
  <si>
    <t>S1</t>
  </si>
  <si>
    <t>Satisfactory</t>
  </si>
  <si>
    <t>Unsatisfactory</t>
  </si>
  <si>
    <t>EXEMPLARY</t>
  </si>
  <si>
    <t>S2</t>
  </si>
  <si>
    <t>Developing</t>
  </si>
  <si>
    <t>SATISFACTORY</t>
  </si>
  <si>
    <t>S3</t>
  </si>
  <si>
    <t>DEVELOPING</t>
  </si>
  <si>
    <t>S4</t>
  </si>
  <si>
    <t>UNSATISFACTORY</t>
  </si>
  <si>
    <t>S5</t>
  </si>
  <si>
    <t>S6</t>
  </si>
  <si>
    <t>S7</t>
  </si>
  <si>
    <t>S8</t>
  </si>
  <si>
    <t>S9</t>
  </si>
  <si>
    <t>Exemplary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</si>
  <si>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</si>
  <si>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</si>
  <si>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</si>
  <si>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</si>
  <si>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</si>
  <si>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</si>
  <si>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</si>
  <si>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</si>
  <si>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</si>
  <si>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</si>
  <si>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</si>
  <si>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</si>
  <si>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</si>
  <si>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</si>
  <si>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</si>
  <si>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</si>
  <si>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</si>
  <si>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</si>
  <si>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</si>
  <si>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</si>
  <si>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</si>
  <si>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</si>
  <si>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</si>
  <si>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</si>
  <si>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</si>
  <si>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</si>
  <si>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</si>
  <si>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</si>
  <si>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36</t>
  </si>
  <si>
    <t>37</t>
  </si>
  <si>
    <t>38</t>
  </si>
  <si>
    <t>39</t>
  </si>
  <si>
    <t>40</t>
  </si>
  <si>
    <t xml:space="preserve">  1620542043</t>
  </si>
  <si>
    <t xml:space="preserve">Farhana Khan  </t>
  </si>
  <si>
    <t xml:space="preserve">  1722146642</t>
  </si>
  <si>
    <t xml:space="preserve">Md. Habib Un Nabi Shihab  </t>
  </si>
  <si>
    <t xml:space="preserve">  1811896643</t>
  </si>
  <si>
    <t xml:space="preserve">Md. Rakibul Haque  </t>
  </si>
  <si>
    <t xml:space="preserve">  1921486643</t>
  </si>
  <si>
    <t xml:space="preserve">Zahin Tazwar  </t>
  </si>
  <si>
    <t xml:space="preserve">  1922123642</t>
  </si>
  <si>
    <t xml:space="preserve">Mila Afrin  </t>
  </si>
  <si>
    <t xml:space="preserve">  2011082643</t>
  </si>
  <si>
    <t xml:space="preserve">Mst. Umme Sadia  </t>
  </si>
  <si>
    <t xml:space="preserve">  2011432642</t>
  </si>
  <si>
    <t xml:space="preserve">Nafisa Tazrian  </t>
  </si>
  <si>
    <t xml:space="preserve">  2011551043</t>
  </si>
  <si>
    <t xml:space="preserve">Mahmudul Hasan  </t>
  </si>
  <si>
    <t xml:space="preserve">  2011809642</t>
  </si>
  <si>
    <t xml:space="preserve">Nafis Raihan  </t>
  </si>
  <si>
    <t xml:space="preserve">  2011866043</t>
  </si>
  <si>
    <t xml:space="preserve">Samia Tasnim Ruhi  </t>
  </si>
  <si>
    <t xml:space="preserve">  2011980642</t>
  </si>
  <si>
    <t xml:space="preserve">Raheedul Islam  </t>
  </si>
  <si>
    <t xml:space="preserve">  2012295642</t>
  </si>
  <si>
    <t xml:space="preserve">Afzalur Rahman  </t>
  </si>
  <si>
    <t xml:space="preserve">  2012323643</t>
  </si>
  <si>
    <t xml:space="preserve">Joy Chandr Roy  </t>
  </si>
  <si>
    <t xml:space="preserve">  2012642643</t>
  </si>
  <si>
    <t xml:space="preserve">Meherab Alamgir  </t>
  </si>
  <si>
    <t xml:space="preserve">  2013018642</t>
  </si>
  <si>
    <t xml:space="preserve">Mahedi Hasan Supto  </t>
  </si>
  <si>
    <t xml:space="preserve">  2013199645</t>
  </si>
  <si>
    <t xml:space="preserve">Mohammad Iftekhar Bin Ashraf  </t>
  </si>
  <si>
    <t xml:space="preserve">  2013395643</t>
  </si>
  <si>
    <t xml:space="preserve">Mohammad Safi - Ul -kaium  </t>
  </si>
  <si>
    <t xml:space="preserve">  2013623043</t>
  </si>
  <si>
    <t xml:space="preserve">Md. Mehraj Hossain Sani  </t>
  </si>
  <si>
    <t xml:space="preserve">  2013786643</t>
  </si>
  <si>
    <t xml:space="preserve">Abrar Mahir Uddin Sahil  </t>
  </si>
  <si>
    <t xml:space="preserve">  2013886643</t>
  </si>
  <si>
    <t xml:space="preserve">Mahima Rashid Urbi  </t>
  </si>
  <si>
    <t xml:space="preserve">  2013926042</t>
  </si>
  <si>
    <t xml:space="preserve">Md. Rafsan Jani Tayeen  </t>
  </si>
  <si>
    <t xml:space="preserve">  2014086642</t>
  </si>
  <si>
    <t xml:space="preserve">Mumtahina Anam Noor  </t>
  </si>
  <si>
    <t xml:space="preserve">  2014182643</t>
  </si>
  <si>
    <t xml:space="preserve">Md. Fazlul Karim  </t>
  </si>
  <si>
    <t xml:space="preserve">  2021038642</t>
  </si>
  <si>
    <t xml:space="preserve">Md. Ashrafur Islam  </t>
  </si>
  <si>
    <t xml:space="preserve">  2021166642</t>
  </si>
  <si>
    <t xml:space="preserve">Mashnoor Monowar Khan  </t>
  </si>
  <si>
    <t xml:space="preserve">  2021187643</t>
  </si>
  <si>
    <t xml:space="preserve">Sabiha Jahan Jineya  </t>
  </si>
  <si>
    <t xml:space="preserve">  2021455642</t>
  </si>
  <si>
    <t xml:space="preserve">Shourave Biswas Pranto  </t>
  </si>
  <si>
    <t xml:space="preserve">  2021481642</t>
  </si>
  <si>
    <t xml:space="preserve">Tanjim Salam  </t>
  </si>
  <si>
    <t xml:space="preserve">  2021509642</t>
  </si>
  <si>
    <t xml:space="preserve">Sadaf Kibria  </t>
  </si>
  <si>
    <t xml:space="preserve">  2021553642</t>
  </si>
  <si>
    <t xml:space="preserve">Md. Azizur Rahman  </t>
  </si>
  <si>
    <t xml:space="preserve">  2021562642</t>
  </si>
  <si>
    <t xml:space="preserve">Sirazam Munira  </t>
  </si>
  <si>
    <t xml:space="preserve">  2021607642</t>
  </si>
  <si>
    <t xml:space="preserve">Israt Sraboni  </t>
  </si>
  <si>
    <t xml:space="preserve">  2021661642</t>
  </si>
  <si>
    <t xml:space="preserve">Md Shah Jalal Hossain  </t>
  </si>
  <si>
    <t xml:space="preserve">  2022375642</t>
  </si>
  <si>
    <t xml:space="preserve">Abdullah Al Mamun Akash  </t>
  </si>
  <si>
    <t xml:space="preserve">  2022503642</t>
  </si>
  <si>
    <t xml:space="preserve">Md.nahid Khan  </t>
  </si>
  <si>
    <t xml:space="preserve">  2022566642</t>
  </si>
  <si>
    <t xml:space="preserve">Syed Tamim  </t>
  </si>
  <si>
    <t xml:space="preserve">  2031372642</t>
  </si>
  <si>
    <t xml:space="preserve">Ittihad Ahmed Anindya  </t>
  </si>
  <si>
    <t xml:space="preserve">  2031498642</t>
  </si>
  <si>
    <t xml:space="preserve">Nilavro Das Kabya  </t>
  </si>
  <si>
    <t xml:space="preserve">  2031727642</t>
  </si>
  <si>
    <t xml:space="preserve">Adnan Bakth Mazmader  </t>
  </si>
  <si>
    <t>Farhana Khan</t>
  </si>
  <si>
    <t>Md. Rakibul Haque</t>
  </si>
  <si>
    <t>Zahin Tazwar</t>
  </si>
  <si>
    <t>Mst. Umme Sadia</t>
  </si>
  <si>
    <t>Nafisa Tazrian</t>
  </si>
  <si>
    <t>Mahmudul Hasan</t>
  </si>
  <si>
    <t>Nafis Raihan</t>
  </si>
  <si>
    <t>Samia Tasnim Ruhi</t>
  </si>
  <si>
    <t>Raheedul Islam</t>
  </si>
  <si>
    <t>Afzalur Rahman</t>
  </si>
  <si>
    <t>Joy Chandr Roy</t>
  </si>
  <si>
    <t>Meherab Alamgir</t>
  </si>
  <si>
    <t>Mahedi Hasan Supto</t>
  </si>
  <si>
    <t>Mohammad Iftekhar Bin Ashraf</t>
  </si>
  <si>
    <t>Mohammad Safi - Ul -kaium</t>
  </si>
  <si>
    <t>Md. Mehraj Hossain Sani</t>
  </si>
  <si>
    <t>Abrar Mahir Uddin Sahil</t>
  </si>
  <si>
    <t>Mahima Rashid Urbi</t>
  </si>
  <si>
    <t>Mumtahina Anam Noor</t>
  </si>
  <si>
    <t>Md. Fazlul Karim</t>
  </si>
  <si>
    <t>Md. Ashrafur Islam</t>
  </si>
  <si>
    <t>Mashnoor Monowar Khan</t>
  </si>
  <si>
    <t>Sabiha Jahan Jineya</t>
  </si>
  <si>
    <t>Shourave Biswas Pranto</t>
  </si>
  <si>
    <t>Tanjim Salam</t>
  </si>
  <si>
    <t>Sadaf Kibria</t>
  </si>
  <si>
    <t>Md. Azizur Rahman</t>
  </si>
  <si>
    <t>Sirazam Munira</t>
  </si>
  <si>
    <t>Israt Sraboni</t>
  </si>
  <si>
    <t>Md Shah Jalal Hossain</t>
  </si>
  <si>
    <t>Abdullah Al Mamun Akash</t>
  </si>
  <si>
    <t>Syed Tamim</t>
  </si>
  <si>
    <t>Ittihad Ahmed Anindya</t>
  </si>
  <si>
    <t>Nilavro Das Kabya</t>
  </si>
  <si>
    <t>Adnan Bakth Mazmader</t>
  </si>
  <si>
    <t>Md. Habib Un Nabi Shihab</t>
  </si>
  <si>
    <t>Mila Afrin</t>
  </si>
  <si>
    <t>Md. Rafsan Jani Tayeen</t>
  </si>
  <si>
    <t>Md.nahid Khan</t>
  </si>
  <si>
    <t>CSE 115L.7</t>
  </si>
  <si>
    <t>Lab Performance 
20%</t>
  </si>
  <si>
    <t>Assgn+Quiz+Viva 
10%</t>
  </si>
  <si>
    <t>Mid 1 
20%</t>
  </si>
  <si>
    <t>Mid 2
20%</t>
  </si>
  <si>
    <t>Final 
30%</t>
  </si>
  <si>
    <t>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</si>
</sst>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" fillId="0" borderId="0"/>
    <xf numFmtId="0" fontId="24" fillId="0" borderId="0" applyNumberFormat="0" applyFill="0" applyBorder="0" applyAlignment="0" applyProtection="0"/>
    <xf numFmtId="0" fontId="25" fillId="4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6">
    <xf numFmtId="0" fontId="0" fillId="0" borderId="0" xfId="0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0" xfId="0" applyBorder="1" applyAlignment="1">
      <alignment horizontal="center"/>
    </xf>
    <xf numFmtId="2" fontId="0" fillId="0" borderId="10" xfId="0" applyNumberFormat="1" applyBorder="1"/>
    <xf numFmtId="2" fontId="21" fillId="0" borderId="10" xfId="0" applyNumberFormat="1" applyFont="1" applyBorder="1"/>
    <xf numFmtId="0" fontId="0" fillId="0" borderId="0" xfId="0" applyBorder="1"/>
    <xf numFmtId="2" fontId="0" fillId="0" borderId="0" xfId="0" applyNumberFormat="1" applyBorder="1"/>
    <xf numFmtId="2" fontId="20" fillId="0" borderId="10" xfId="0" applyNumberFormat="1" applyFont="1" applyBorder="1" applyAlignment="1">
      <alignment horizontal="center" vertical="center" wrapText="1"/>
    </xf>
    <xf numFmtId="0" fontId="0" fillId="0" borderId="10" xfId="0" applyFill="1" applyBorder="1"/>
    <xf numFmtId="0" fontId="0" fillId="33" borderId="10" xfId="0" applyFill="1" applyBorder="1" applyAlignment="1">
      <alignment horizontal="center"/>
    </xf>
    <xf numFmtId="0" fontId="0" fillId="33" borderId="10" xfId="0" applyFill="1" applyBorder="1"/>
    <xf numFmtId="0" fontId="0" fillId="33" borderId="11" xfId="0" applyFill="1" applyBorder="1"/>
    <xf numFmtId="0" fontId="19" fillId="33" borderId="10" xfId="0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left" vertical="center"/>
    </xf>
    <xf numFmtId="2" fontId="20" fillId="33" borderId="10" xfId="0" applyNumberFormat="1" applyFont="1" applyFill="1" applyBorder="1" applyAlignment="1">
      <alignment horizontal="center" vertical="center" wrapText="1"/>
    </xf>
    <xf numFmtId="0" fontId="0" fillId="33" borderId="0" xfId="0" applyFill="1"/>
    <xf numFmtId="0" fontId="22" fillId="0" borderId="10" xfId="0" applyFont="1" applyBorder="1"/>
    <xf numFmtId="0" fontId="21" fillId="0" borderId="12" xfId="0" applyFont="1" applyBorder="1" applyAlignment="1">
      <alignment horizontal="center"/>
    </xf>
    <xf numFmtId="0" fontId="21" fillId="33" borderId="0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22" fillId="0" borderId="10" xfId="0" applyFont="1" applyFill="1" applyBorder="1"/>
    <xf numFmtId="0" fontId="22" fillId="0" borderId="10" xfId="0" applyFont="1" applyBorder="1" applyAlignment="1">
      <alignment horizontal="center"/>
    </xf>
    <xf numFmtId="0" fontId="22" fillId="0" borderId="0" xfId="0" applyFont="1" applyBorder="1"/>
    <xf numFmtId="0" fontId="22" fillId="0" borderId="11" xfId="0" applyFont="1" applyBorder="1"/>
    <xf numFmtId="0" fontId="23" fillId="0" borderId="10" xfId="0" applyFont="1" applyBorder="1"/>
    <xf numFmtId="0" fontId="19" fillId="33" borderId="10" xfId="0" applyFont="1" applyFill="1" applyBorder="1"/>
    <xf numFmtId="0" fontId="19" fillId="33" borderId="10" xfId="0" applyFont="1" applyFill="1" applyBorder="1" applyAlignment="1">
      <alignment wrapText="1"/>
    </xf>
    <xf numFmtId="0" fontId="19" fillId="0" borderId="0" xfId="0" applyFont="1"/>
    <xf numFmtId="1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Alignment="1">
      <alignment horizontal="center"/>
    </xf>
    <xf numFmtId="0" fontId="19" fillId="33" borderId="10" xfId="0" applyFont="1" applyFill="1" applyBorder="1" applyAlignment="1">
      <alignment horizontal="center" wrapText="1"/>
    </xf>
    <xf numFmtId="0" fontId="22" fillId="0" borderId="10" xfId="0" applyFont="1" applyFill="1" applyBorder="1" applyAlignment="1">
      <alignment horizontal="center"/>
    </xf>
    <xf numFmtId="0" fontId="21" fillId="0" borderId="10" xfId="0" applyFont="1" applyBorder="1"/>
    <xf numFmtId="0" fontId="21" fillId="0" borderId="11" xfId="0" applyFont="1" applyBorder="1"/>
    <xf numFmtId="0" fontId="21" fillId="0" borderId="11" xfId="0" applyFont="1" applyBorder="1" applyAlignment="1">
      <alignment horizontal="center"/>
    </xf>
    <xf numFmtId="0" fontId="0" fillId="0" borderId="10" xfId="0" applyFont="1" applyBorder="1"/>
    <xf numFmtId="0" fontId="22" fillId="0" borderId="0" xfId="0" applyFont="1"/>
    <xf numFmtId="0" fontId="22" fillId="0" borderId="13" xfId="0" applyFont="1" applyBorder="1"/>
    <xf numFmtId="0" fontId="20" fillId="0" borderId="10" xfId="0" applyFont="1" applyBorder="1" applyAlignment="1">
      <alignment horizontal="center" vertical="center"/>
    </xf>
    <xf numFmtId="0" fontId="20" fillId="0" borderId="10" xfId="0" applyFont="1" applyBorder="1" applyAlignment="1">
      <alignment horizontal="left" vertical="center"/>
    </xf>
    <xf numFmtId="0" fontId="20" fillId="0" borderId="10" xfId="0" applyFont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/>
    </xf>
    <xf numFmtId="0" fontId="20" fillId="33" borderId="10" xfId="0" applyFont="1" applyFill="1" applyBorder="1" applyAlignment="1">
      <alignment horizontal="left" vertical="center"/>
    </xf>
    <xf numFmtId="0" fontId="20" fillId="33" borderId="10" xfId="0" applyFont="1" applyFill="1" applyBorder="1" applyAlignment="1">
      <alignment horizontal="center" vertical="center" wrapText="1"/>
    </xf>
    <xf numFmtId="0" fontId="1" fillId="0" borderId="0" xfId="42"/>
    <xf numFmtId="2" fontId="20" fillId="0" borderId="10" xfId="0" applyNumberFormat="1" applyFont="1" applyBorder="1" applyAlignment="1">
      <alignment horizontal="center" vertical="center"/>
    </xf>
    <xf numFmtId="2" fontId="21" fillId="0" borderId="10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21" fillId="0" borderId="1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21" fillId="0" borderId="0" xfId="0" applyNumberFormat="1" applyFont="1" applyBorder="1" applyAlignment="1">
      <alignment horizontal="center"/>
    </xf>
    <xf numFmtId="0" fontId="26" fillId="0" borderId="10" xfId="0" applyFont="1" applyBorder="1"/>
    <xf numFmtId="0" fontId="0" fillId="33" borderId="10" xfId="0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</cellXfs>
  <cellStyles count="64">
    <cellStyle name="20% - Accent1" xfId="19" builtinId="30" customBuiltin="1"/>
    <cellStyle name="20% - Accent1 2" xfId="46" xr:uid="{C97B2E6C-6F6D-4129-8F28-3676F83E49D0}"/>
    <cellStyle name="20% - Accent2" xfId="23" builtinId="34" customBuiltin="1"/>
    <cellStyle name="20% - Accent2 2" xfId="49" xr:uid="{A42CCF89-7F3C-4F70-B052-26B21FE2E3AF}"/>
    <cellStyle name="20% - Accent3" xfId="27" builtinId="38" customBuiltin="1"/>
    <cellStyle name="20% - Accent3 2" xfId="52" xr:uid="{D00469B5-0716-48E0-BBCB-85F557FB2C11}"/>
    <cellStyle name="20% - Accent4" xfId="31" builtinId="42" customBuiltin="1"/>
    <cellStyle name="20% - Accent4 2" xfId="55" xr:uid="{DE984E58-E550-4769-B2BF-5D7B75E70D20}"/>
    <cellStyle name="20% - Accent5" xfId="35" builtinId="46" customBuiltin="1"/>
    <cellStyle name="20% - Accent5 2" xfId="58" xr:uid="{5BD4EC6B-1024-41E1-B976-A665BD6101DA}"/>
    <cellStyle name="20% - Accent6" xfId="39" builtinId="50" customBuiltin="1"/>
    <cellStyle name="20% - Accent6 2" xfId="61" xr:uid="{2012EDFA-23CB-4489-81AF-531018534434}"/>
    <cellStyle name="40% - Accent1" xfId="20" builtinId="31" customBuiltin="1"/>
    <cellStyle name="40% - Accent1 2" xfId="47" xr:uid="{FA2F2C91-6773-4B66-9FEB-6C2072067A55}"/>
    <cellStyle name="40% - Accent2" xfId="24" builtinId="35" customBuiltin="1"/>
    <cellStyle name="40% - Accent2 2" xfId="50" xr:uid="{760B0F94-BC8F-4551-9876-3F07D6E7B5E4}"/>
    <cellStyle name="40% - Accent3" xfId="28" builtinId="39" customBuiltin="1"/>
    <cellStyle name="40% - Accent3 2" xfId="53" xr:uid="{D8A10C83-D332-47F3-8993-08CAE19C1DCC}"/>
    <cellStyle name="40% - Accent4" xfId="32" builtinId="43" customBuiltin="1"/>
    <cellStyle name="40% - Accent4 2" xfId="56" xr:uid="{B6936933-AD9A-4233-B61B-66B026125864}"/>
    <cellStyle name="40% - Accent5" xfId="36" builtinId="47" customBuiltin="1"/>
    <cellStyle name="40% - Accent5 2" xfId="59" xr:uid="{B3FF4765-B73C-48B7-BB8E-CE8A092E3C69}"/>
    <cellStyle name="40% - Accent6" xfId="40" builtinId="51" customBuiltin="1"/>
    <cellStyle name="40% - Accent6 2" xfId="62" xr:uid="{06E05505-C2F1-4789-A3E4-EAA8D39932A2}"/>
    <cellStyle name="60% - Accent1" xfId="21" builtinId="32" customBuiltin="1"/>
    <cellStyle name="60% - Accent1 2" xfId="48" xr:uid="{C06F804F-BC76-434B-A6AD-53FC08D5328E}"/>
    <cellStyle name="60% - Accent2" xfId="25" builtinId="36" customBuiltin="1"/>
    <cellStyle name="60% - Accent2 2" xfId="51" xr:uid="{20F30106-13E6-415D-8FAA-E3A56CFF10BA}"/>
    <cellStyle name="60% - Accent3" xfId="29" builtinId="40" customBuiltin="1"/>
    <cellStyle name="60% - Accent3 2" xfId="54" xr:uid="{C4DB8EEF-9B8B-4151-A9CD-C0CB8A227334}"/>
    <cellStyle name="60% - Accent4" xfId="33" builtinId="44" customBuiltin="1"/>
    <cellStyle name="60% - Accent4 2" xfId="57" xr:uid="{D939315B-A1EB-4D98-91C8-5345499736C4}"/>
    <cellStyle name="60% - Accent5" xfId="37" builtinId="48" customBuiltin="1"/>
    <cellStyle name="60% - Accent5 2" xfId="60" xr:uid="{0ABC7351-F652-4134-AB60-A283C47C2D8F}"/>
    <cellStyle name="60% - Accent6" xfId="41" builtinId="52" customBuiltin="1"/>
    <cellStyle name="60% - Accent6 2" xfId="63" xr:uid="{9620210C-9E98-4254-A291-F4AB6B3FF7AD}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eutral 2" xfId="44" xr:uid="{2FD3D984-48D7-4D55-AA0A-2EA32AA2B074}"/>
    <cellStyle name="Normal" xfId="0" builtinId="0" customBuiltin="1"/>
    <cellStyle name="Normal 2" xfId="42" xr:uid="{0BA6FDB4-3B55-4079-B3F7-6E798AB71B17}"/>
    <cellStyle name="Note" xfId="15" builtinId="10" customBuiltin="1"/>
    <cellStyle name="Note 2" xfId="45" xr:uid="{82F73381-0019-4D18-96CB-2FE9E1EAA8F9}"/>
    <cellStyle name="Output" xfId="10" builtinId="21" customBuiltin="1"/>
    <cellStyle name="Title" xfId="1" builtinId="15" customBuiltin="1"/>
    <cellStyle name="Title 2" xfId="43" xr:uid="{6C7E4693-0A81-42A3-9A35-381AE2CF512E}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ABET!$Q$3:$Q$6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16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1B-4642-A569-1955F7B30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5461472"/>
        <c:axId val="1715462016"/>
      </c:barChart>
      <c:catAx>
        <c:axId val="1715461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715462016"/>
        <c:crosses val="autoZero"/>
        <c:auto val="1"/>
        <c:lblAlgn val="ctr"/>
        <c:lblOffset val="100"/>
        <c:noMultiLvlLbl val="0"/>
      </c:catAx>
      <c:valAx>
        <c:axId val="1715462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5461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ABET!$S$3:$S$6</c:f>
              <c:numCache>
                <c:formatCode>General</c:formatCode>
                <c:ptCount val="4"/>
                <c:pt idx="0">
                  <c:v>6</c:v>
                </c:pt>
                <c:pt idx="1">
                  <c:v>7</c:v>
                </c:pt>
                <c:pt idx="2">
                  <c:v>19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3-4A7D-A6D7-46D67C6BE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5462560"/>
        <c:axId val="1715463648"/>
      </c:barChart>
      <c:catAx>
        <c:axId val="1715462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715463648"/>
        <c:crosses val="autoZero"/>
        <c:auto val="1"/>
        <c:lblAlgn val="ctr"/>
        <c:lblOffset val="100"/>
        <c:noMultiLvlLbl val="0"/>
      </c:catAx>
      <c:valAx>
        <c:axId val="171546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5462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ABET!$U$3:$U$6</c:f>
              <c:numCache>
                <c:formatCode>General</c:formatCode>
                <c:ptCount val="4"/>
                <c:pt idx="0">
                  <c:v>6</c:v>
                </c:pt>
                <c:pt idx="1">
                  <c:v>2</c:v>
                </c:pt>
                <c:pt idx="2">
                  <c:v>6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35-4A6A-A4CA-975397C92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5450592"/>
        <c:axId val="1715452768"/>
      </c:barChart>
      <c:catAx>
        <c:axId val="1715450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715452768"/>
        <c:crosses val="autoZero"/>
        <c:auto val="1"/>
        <c:lblAlgn val="ctr"/>
        <c:lblOffset val="100"/>
        <c:noMultiLvlLbl val="0"/>
      </c:catAx>
      <c:valAx>
        <c:axId val="171545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5450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371475</xdr:colOff>
      <xdr:row>9</xdr:row>
      <xdr:rowOff>95250</xdr:rowOff>
    </xdr:from>
    <xdr:to>
      <xdr:col>20</xdr:col>
      <xdr:colOff>381000</xdr:colOff>
      <xdr:row>23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352425</xdr:colOff>
      <xdr:row>26</xdr:row>
      <xdr:rowOff>57150</xdr:rowOff>
    </xdr:from>
    <xdr:to>
      <xdr:col>20</xdr:col>
      <xdr:colOff>361950</xdr:colOff>
      <xdr:row>40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581025</xdr:colOff>
      <xdr:row>42</xdr:row>
      <xdr:rowOff>114300</xdr:rowOff>
    </xdr:from>
    <xdr:to>
      <xdr:col>20</xdr:col>
      <xdr:colOff>590550</xdr:colOff>
      <xdr:row>57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173"/>
  <sheetViews>
    <sheetView tabSelected="1" workbookViewId="0">
      <pane ySplit="855" activePane="bottomLeft"/>
      <selection activeCell="N1" sqref="N1:O1048576"/>
      <selection pane="bottomLeft" activeCell="I59" sqref="I59"/>
    </sheetView>
  </sheetViews>
  <sheetFormatPr defaultRowHeight="15" x14ac:dyDescent="0.25"/>
  <cols>
    <col min="1" max="1" width="6" style="23" bestFit="1" customWidth="1"/>
    <col min="2" max="2" width="11.42578125" style="2" customWidth="1"/>
    <col min="3" max="3" width="22.42578125" style="1" customWidth="1"/>
    <col min="4" max="4" width="16" style="54" bestFit="1" customWidth="1"/>
    <col min="5" max="5" width="16.140625" style="54" bestFit="1" customWidth="1"/>
    <col min="6" max="6" width="7.28515625" style="57" customWidth="1"/>
    <col min="7" max="7" width="6" style="5" bestFit="1" customWidth="1"/>
    <col min="8" max="8" width="5.28515625" style="54" customWidth="1"/>
    <col min="9" max="9" width="6.42578125" style="52" bestFit="1" customWidth="1"/>
    <col min="10" max="10" width="6.5703125" style="52" bestFit="1" customWidth="1"/>
    <col min="11" max="11" width="6.42578125" style="2" customWidth="1"/>
    <col min="12" max="12" width="3.140625" style="1" customWidth="1"/>
    <col min="13" max="13" width="12.5703125" style="1" customWidth="1"/>
    <col min="14" max="14" width="9.140625" style="57" customWidth="1"/>
    <col min="15" max="15" width="9.28515625" style="57" customWidth="1"/>
    <col min="16" max="16384" width="9.140625" style="1"/>
  </cols>
  <sheetData>
    <row r="1" spans="1:15" ht="30.75" customHeight="1" x14ac:dyDescent="0.25">
      <c r="A1" s="19" t="s">
        <v>26</v>
      </c>
      <c r="B1" s="44" t="s">
        <v>0</v>
      </c>
      <c r="C1" s="45" t="s">
        <v>1</v>
      </c>
      <c r="D1" s="9" t="s">
        <v>241</v>
      </c>
      <c r="E1" s="9" t="s">
        <v>242</v>
      </c>
      <c r="F1" s="46" t="s">
        <v>243</v>
      </c>
      <c r="G1" s="9" t="s">
        <v>244</v>
      </c>
      <c r="H1" s="9" t="s">
        <v>245</v>
      </c>
      <c r="I1" s="51" t="s">
        <v>246</v>
      </c>
      <c r="J1" s="9" t="s">
        <v>3</v>
      </c>
      <c r="K1" s="44" t="s">
        <v>2</v>
      </c>
      <c r="L1" s="3"/>
      <c r="M1" s="3"/>
    </row>
    <row r="2" spans="1:15" s="12" customFormat="1" x14ac:dyDescent="0.25">
      <c r="A2" s="20"/>
      <c r="B2" s="47" t="s">
        <v>240</v>
      </c>
      <c r="C2" s="48"/>
      <c r="D2" s="16"/>
      <c r="E2" s="16"/>
      <c r="F2" s="49"/>
      <c r="G2" s="16"/>
      <c r="H2" s="16"/>
      <c r="I2" s="16"/>
      <c r="J2" s="16"/>
      <c r="K2" s="47"/>
      <c r="L2" s="13"/>
      <c r="M2" s="13"/>
      <c r="N2" s="60"/>
      <c r="O2" s="60"/>
    </row>
    <row r="3" spans="1:15" s="18" customFormat="1" x14ac:dyDescent="0.25">
      <c r="A3" s="42" t="s">
        <v>4</v>
      </c>
      <c r="B3" s="59">
        <v>1620542043</v>
      </c>
      <c r="C3" s="59" t="s">
        <v>201</v>
      </c>
      <c r="D3" s="54">
        <v>10.142857142857142</v>
      </c>
      <c r="E3" s="52">
        <v>5.875</v>
      </c>
      <c r="F3" s="55">
        <v>4</v>
      </c>
      <c r="G3" s="6">
        <v>0</v>
      </c>
      <c r="H3" s="2">
        <v>19</v>
      </c>
      <c r="I3" s="52">
        <v>2.5</v>
      </c>
      <c r="J3" s="52">
        <f>SUM(D3:I3)</f>
        <v>41.517857142857139</v>
      </c>
      <c r="K3" s="23" t="s">
        <v>42</v>
      </c>
      <c r="L3" s="39"/>
      <c r="M3" s="38" t="s">
        <v>43</v>
      </c>
      <c r="N3" s="61" t="s">
        <v>32</v>
      </c>
      <c r="O3" s="61">
        <v>11</v>
      </c>
    </row>
    <row r="4" spans="1:15" x14ac:dyDescent="0.25">
      <c r="A4" s="21" t="s">
        <v>9</v>
      </c>
      <c r="B4" s="59">
        <v>1722146642</v>
      </c>
      <c r="C4" s="59" t="s">
        <v>236</v>
      </c>
      <c r="D4" s="54">
        <v>0</v>
      </c>
      <c r="E4" s="52">
        <v>0</v>
      </c>
      <c r="F4" s="55">
        <v>0</v>
      </c>
      <c r="G4" s="6">
        <v>0</v>
      </c>
      <c r="H4" s="2">
        <v>0</v>
      </c>
      <c r="I4" s="52">
        <v>0</v>
      </c>
      <c r="J4" s="52">
        <f t="shared" ref="J4:J41" si="0">SUM(D4:I4)</f>
        <v>0</v>
      </c>
      <c r="K4" s="23" t="s">
        <v>42</v>
      </c>
      <c r="L4" s="39"/>
      <c r="M4" s="38" t="s">
        <v>44</v>
      </c>
      <c r="N4" s="61" t="s">
        <v>33</v>
      </c>
      <c r="O4" s="61">
        <v>3</v>
      </c>
    </row>
    <row r="5" spans="1:15" s="18" customFormat="1" x14ac:dyDescent="0.25">
      <c r="A5" s="42" t="s">
        <v>10</v>
      </c>
      <c r="B5" s="59">
        <v>1811896643</v>
      </c>
      <c r="C5" s="59" t="s">
        <v>202</v>
      </c>
      <c r="D5" s="54">
        <v>8.3809523809523814</v>
      </c>
      <c r="E5" s="52">
        <v>7</v>
      </c>
      <c r="F5" s="55">
        <v>18.666666666666668</v>
      </c>
      <c r="G5" s="6">
        <v>12.571428571428571</v>
      </c>
      <c r="H5" s="2">
        <v>24</v>
      </c>
      <c r="I5" s="52">
        <v>5</v>
      </c>
      <c r="J5" s="52">
        <f t="shared" si="0"/>
        <v>75.61904761904762</v>
      </c>
      <c r="K5" s="23" t="s">
        <v>38</v>
      </c>
      <c r="L5" s="39"/>
      <c r="M5" s="38" t="s">
        <v>45</v>
      </c>
      <c r="N5" s="61" t="s">
        <v>34</v>
      </c>
      <c r="O5" s="61">
        <v>5</v>
      </c>
    </row>
    <row r="6" spans="1:15" x14ac:dyDescent="0.25">
      <c r="A6" s="21" t="s">
        <v>11</v>
      </c>
      <c r="B6" s="59">
        <v>1921486643</v>
      </c>
      <c r="C6" s="59" t="s">
        <v>203</v>
      </c>
      <c r="D6" s="54">
        <v>16</v>
      </c>
      <c r="E6" s="52">
        <v>8.5</v>
      </c>
      <c r="F6" s="55">
        <v>20</v>
      </c>
      <c r="G6" s="6">
        <v>14.857142857142859</v>
      </c>
      <c r="H6" s="2">
        <v>23</v>
      </c>
      <c r="I6" s="52">
        <v>5</v>
      </c>
      <c r="J6" s="52">
        <f>SUM(D6:I6)</f>
        <v>87.357142857142861</v>
      </c>
      <c r="K6" s="23" t="s">
        <v>34</v>
      </c>
      <c r="L6" s="39"/>
      <c r="M6" s="38" t="s">
        <v>46</v>
      </c>
      <c r="N6" s="61" t="s">
        <v>35</v>
      </c>
      <c r="O6" s="61">
        <v>3</v>
      </c>
    </row>
    <row r="7" spans="1:15" s="18" customFormat="1" x14ac:dyDescent="0.25">
      <c r="A7" s="42" t="s">
        <v>12</v>
      </c>
      <c r="B7" s="59">
        <v>1922123642</v>
      </c>
      <c r="C7" s="59" t="s">
        <v>237</v>
      </c>
      <c r="D7" s="54">
        <v>0</v>
      </c>
      <c r="E7" s="52">
        <v>1</v>
      </c>
      <c r="F7" s="55">
        <v>0</v>
      </c>
      <c r="G7" s="6">
        <v>0</v>
      </c>
      <c r="H7" s="2">
        <v>0</v>
      </c>
      <c r="I7" s="52">
        <v>2.5</v>
      </c>
      <c r="J7" s="52">
        <f t="shared" si="0"/>
        <v>3.5</v>
      </c>
      <c r="K7" s="23" t="s">
        <v>42</v>
      </c>
      <c r="L7" s="39"/>
      <c r="M7" s="38" t="s">
        <v>47</v>
      </c>
      <c r="N7" s="61" t="s">
        <v>36</v>
      </c>
      <c r="O7" s="61">
        <v>4</v>
      </c>
    </row>
    <row r="8" spans="1:15" s="18" customFormat="1" ht="15.75" customHeight="1" x14ac:dyDescent="0.25">
      <c r="A8" s="21" t="s">
        <v>13</v>
      </c>
      <c r="B8" s="59">
        <v>2011082643</v>
      </c>
      <c r="C8" s="59" t="s">
        <v>204</v>
      </c>
      <c r="D8" s="54">
        <v>18.714285714285715</v>
      </c>
      <c r="E8" s="52">
        <v>9.875</v>
      </c>
      <c r="F8" s="55">
        <v>20</v>
      </c>
      <c r="G8" s="6">
        <v>11.428571428571429</v>
      </c>
      <c r="H8" s="2">
        <v>24</v>
      </c>
      <c r="I8" s="52">
        <v>5</v>
      </c>
      <c r="J8" s="52">
        <f t="shared" si="0"/>
        <v>89.017857142857139</v>
      </c>
      <c r="K8" s="23" t="s">
        <v>34</v>
      </c>
      <c r="L8" s="39"/>
      <c r="M8" s="38" t="s">
        <v>48</v>
      </c>
      <c r="N8" s="61" t="s">
        <v>37</v>
      </c>
      <c r="O8" s="61">
        <v>1</v>
      </c>
    </row>
    <row r="9" spans="1:15" s="18" customFormat="1" x14ac:dyDescent="0.25">
      <c r="A9" s="42" t="s">
        <v>14</v>
      </c>
      <c r="B9" s="59">
        <v>2011432642</v>
      </c>
      <c r="C9" s="59" t="s">
        <v>205</v>
      </c>
      <c r="D9" s="54">
        <v>17.523809523809526</v>
      </c>
      <c r="E9" s="52">
        <v>9.75</v>
      </c>
      <c r="F9" s="55">
        <v>18.666666666666668</v>
      </c>
      <c r="G9" s="6">
        <v>16</v>
      </c>
      <c r="H9" s="2">
        <v>20</v>
      </c>
      <c r="I9" s="52">
        <v>5</v>
      </c>
      <c r="J9" s="52">
        <f t="shared" si="0"/>
        <v>86.94047619047619</v>
      </c>
      <c r="K9" s="23" t="s">
        <v>34</v>
      </c>
      <c r="L9" s="28"/>
      <c r="M9" s="38" t="s">
        <v>49</v>
      </c>
      <c r="N9" s="61" t="s">
        <v>38</v>
      </c>
      <c r="O9" s="61">
        <v>3</v>
      </c>
    </row>
    <row r="10" spans="1:15" s="18" customFormat="1" x14ac:dyDescent="0.25">
      <c r="A10" s="21" t="s">
        <v>15</v>
      </c>
      <c r="B10" s="59">
        <v>2011551043</v>
      </c>
      <c r="C10" s="59" t="s">
        <v>206</v>
      </c>
      <c r="D10" s="54">
        <v>9.4761904761904763</v>
      </c>
      <c r="E10" s="52">
        <v>7.8125</v>
      </c>
      <c r="F10" s="55">
        <v>15.333333333333336</v>
      </c>
      <c r="G10" s="6">
        <v>12</v>
      </c>
      <c r="H10" s="2">
        <v>22</v>
      </c>
      <c r="I10" s="52">
        <v>2.5</v>
      </c>
      <c r="J10" s="52">
        <f t="shared" si="0"/>
        <v>69.12202380952381</v>
      </c>
      <c r="K10" s="23" t="s">
        <v>40</v>
      </c>
      <c r="L10" s="39"/>
      <c r="M10" s="38" t="s">
        <v>50</v>
      </c>
      <c r="N10" s="61" t="s">
        <v>39</v>
      </c>
      <c r="O10" s="61">
        <v>0</v>
      </c>
    </row>
    <row r="11" spans="1:15" s="18" customFormat="1" x14ac:dyDescent="0.25">
      <c r="A11" s="42" t="s">
        <v>16</v>
      </c>
      <c r="B11" s="59">
        <v>2011809642</v>
      </c>
      <c r="C11" s="59" t="s">
        <v>207</v>
      </c>
      <c r="D11" s="54">
        <v>10.714285714285715</v>
      </c>
      <c r="E11" s="52">
        <v>9.25</v>
      </c>
      <c r="F11" s="55">
        <v>20</v>
      </c>
      <c r="G11" s="6">
        <v>17.142857142857142</v>
      </c>
      <c r="H11" s="2">
        <v>22</v>
      </c>
      <c r="I11" s="52">
        <v>2.5</v>
      </c>
      <c r="J11" s="52">
        <f t="shared" si="0"/>
        <v>81.607142857142861</v>
      </c>
      <c r="K11" s="23" t="s">
        <v>36</v>
      </c>
      <c r="L11" s="39"/>
      <c r="M11" s="38" t="s">
        <v>51</v>
      </c>
      <c r="N11" s="61" t="s">
        <v>40</v>
      </c>
      <c r="O11" s="61">
        <v>3</v>
      </c>
    </row>
    <row r="12" spans="1:15" s="18" customFormat="1" x14ac:dyDescent="0.25">
      <c r="A12" s="21" t="s">
        <v>17</v>
      </c>
      <c r="B12" s="59">
        <v>2011866043</v>
      </c>
      <c r="C12" s="59" t="s">
        <v>208</v>
      </c>
      <c r="D12" s="54">
        <v>17.047619047619047</v>
      </c>
      <c r="E12" s="52">
        <v>8.75</v>
      </c>
      <c r="F12" s="55">
        <v>15.333333333333336</v>
      </c>
      <c r="G12" s="6">
        <v>18.857142857142858</v>
      </c>
      <c r="H12" s="2">
        <v>28</v>
      </c>
      <c r="I12" s="52">
        <v>5</v>
      </c>
      <c r="J12" s="52">
        <f t="shared" si="0"/>
        <v>92.988095238095241</v>
      </c>
      <c r="K12" s="23" t="s">
        <v>32</v>
      </c>
      <c r="L12" s="40"/>
      <c r="M12" s="38" t="s">
        <v>52</v>
      </c>
      <c r="N12" s="61" t="s">
        <v>41</v>
      </c>
      <c r="O12" s="61">
        <v>2</v>
      </c>
    </row>
    <row r="13" spans="1:15" x14ac:dyDescent="0.25">
      <c r="A13" s="42" t="s">
        <v>18</v>
      </c>
      <c r="B13" s="59">
        <v>2011980642</v>
      </c>
      <c r="C13" s="59" t="s">
        <v>209</v>
      </c>
      <c r="D13" s="54">
        <v>11.333333333333334</v>
      </c>
      <c r="E13" s="52">
        <v>5.3125</v>
      </c>
      <c r="F13" s="55">
        <v>18</v>
      </c>
      <c r="G13" s="6">
        <v>15.428571428571431</v>
      </c>
      <c r="H13" s="2">
        <v>22</v>
      </c>
      <c r="I13" s="52">
        <v>2.5</v>
      </c>
      <c r="J13" s="52">
        <f t="shared" si="0"/>
        <v>74.574404761904759</v>
      </c>
      <c r="K13" s="23" t="s">
        <v>38</v>
      </c>
      <c r="L13" s="39"/>
      <c r="M13" s="38" t="s">
        <v>53</v>
      </c>
      <c r="N13" s="61" t="s">
        <v>42</v>
      </c>
      <c r="O13" s="61">
        <v>4</v>
      </c>
    </row>
    <row r="14" spans="1:15" s="18" customFormat="1" x14ac:dyDescent="0.25">
      <c r="A14" s="42" t="s">
        <v>20</v>
      </c>
      <c r="B14" s="59">
        <v>2012295642</v>
      </c>
      <c r="C14" s="59" t="s">
        <v>210</v>
      </c>
      <c r="D14" s="54">
        <v>13.476190476190476</v>
      </c>
      <c r="E14" s="52">
        <v>4.125</v>
      </c>
      <c r="F14" s="55">
        <v>0</v>
      </c>
      <c r="G14" s="6">
        <v>14.285714285714286</v>
      </c>
      <c r="H14" s="2">
        <v>24</v>
      </c>
      <c r="I14" s="52">
        <v>5</v>
      </c>
      <c r="J14" s="52">
        <f t="shared" si="0"/>
        <v>60.886904761904759</v>
      </c>
      <c r="K14" s="23" t="s">
        <v>41</v>
      </c>
      <c r="L14" s="39"/>
      <c r="M14" s="38" t="s">
        <v>54</v>
      </c>
      <c r="N14" s="61"/>
      <c r="O14" s="61">
        <f>SUM(O3:O13)</f>
        <v>39</v>
      </c>
    </row>
    <row r="15" spans="1:15" x14ac:dyDescent="0.25">
      <c r="A15" s="21" t="s">
        <v>21</v>
      </c>
      <c r="B15" s="59">
        <v>2012323643</v>
      </c>
      <c r="C15" s="59" t="s">
        <v>211</v>
      </c>
      <c r="D15" s="54">
        <v>17.571428571428573</v>
      </c>
      <c r="E15" s="52">
        <v>9.6875</v>
      </c>
      <c r="F15" s="55">
        <v>16.666666666666668</v>
      </c>
      <c r="G15" s="6">
        <v>12.571428571428571</v>
      </c>
      <c r="H15" s="2">
        <v>30</v>
      </c>
      <c r="I15" s="52">
        <v>5</v>
      </c>
      <c r="J15" s="52">
        <f t="shared" si="0"/>
        <v>91.49702380952381</v>
      </c>
      <c r="K15" s="23" t="s">
        <v>33</v>
      </c>
      <c r="L15" s="39"/>
    </row>
    <row r="16" spans="1:15" s="18" customFormat="1" x14ac:dyDescent="0.25">
      <c r="A16" s="42" t="s">
        <v>22</v>
      </c>
      <c r="B16" s="59">
        <v>2012642643</v>
      </c>
      <c r="C16" s="59" t="s">
        <v>212</v>
      </c>
      <c r="D16" s="54">
        <v>18.571428571428573</v>
      </c>
      <c r="E16" s="52">
        <v>8.5</v>
      </c>
      <c r="F16" s="55">
        <v>15.333333333333336</v>
      </c>
      <c r="G16" s="6">
        <v>13.714285714285715</v>
      </c>
      <c r="H16" s="2">
        <v>30</v>
      </c>
      <c r="I16" s="52">
        <v>2.5</v>
      </c>
      <c r="J16" s="52">
        <f t="shared" si="0"/>
        <v>88.61904761904762</v>
      </c>
      <c r="K16" s="23" t="s">
        <v>34</v>
      </c>
      <c r="L16" s="39"/>
      <c r="N16" s="62"/>
      <c r="O16" s="62"/>
    </row>
    <row r="17" spans="1:15" x14ac:dyDescent="0.25">
      <c r="A17" s="21" t="s">
        <v>23</v>
      </c>
      <c r="B17" s="59">
        <v>2013018642</v>
      </c>
      <c r="C17" s="59" t="s">
        <v>213</v>
      </c>
      <c r="D17" s="54">
        <v>5.8095238095238102</v>
      </c>
      <c r="E17" s="52">
        <v>6.75</v>
      </c>
      <c r="F17" s="55">
        <v>10.666666666666668</v>
      </c>
      <c r="G17" s="6">
        <v>15.428571428571431</v>
      </c>
      <c r="H17" s="2">
        <v>24</v>
      </c>
      <c r="I17" s="52">
        <v>5</v>
      </c>
      <c r="J17" s="52">
        <f t="shared" si="0"/>
        <v>67.654761904761912</v>
      </c>
      <c r="K17" s="23" t="s">
        <v>40</v>
      </c>
      <c r="L17" s="39"/>
    </row>
    <row r="18" spans="1:15" s="18" customFormat="1" x14ac:dyDescent="0.25">
      <c r="A18" s="42" t="s">
        <v>24</v>
      </c>
      <c r="B18" s="59">
        <v>2013199645</v>
      </c>
      <c r="C18" s="59" t="s">
        <v>214</v>
      </c>
      <c r="D18" s="54">
        <v>18.523809523809526</v>
      </c>
      <c r="E18" s="52">
        <v>8</v>
      </c>
      <c r="F18" s="55">
        <v>17.333333333333336</v>
      </c>
      <c r="G18" s="6">
        <v>16</v>
      </c>
      <c r="H18" s="2">
        <v>30</v>
      </c>
      <c r="I18" s="52">
        <v>5</v>
      </c>
      <c r="J18" s="52">
        <f t="shared" si="0"/>
        <v>94.857142857142861</v>
      </c>
      <c r="K18" s="23" t="s">
        <v>32</v>
      </c>
      <c r="L18" s="28"/>
      <c r="N18" s="62"/>
      <c r="O18" s="62"/>
    </row>
    <row r="19" spans="1:15" s="18" customFormat="1" x14ac:dyDescent="0.25">
      <c r="A19" s="21" t="s">
        <v>25</v>
      </c>
      <c r="B19" s="59">
        <v>2013395643</v>
      </c>
      <c r="C19" s="59" t="s">
        <v>215</v>
      </c>
      <c r="D19" s="54">
        <v>19.142857142857146</v>
      </c>
      <c r="E19" s="52">
        <v>8.375</v>
      </c>
      <c r="F19" s="55">
        <v>20</v>
      </c>
      <c r="G19" s="6">
        <v>16</v>
      </c>
      <c r="H19" s="2">
        <v>21</v>
      </c>
      <c r="I19" s="52">
        <v>5</v>
      </c>
      <c r="J19" s="52">
        <f t="shared" si="0"/>
        <v>89.517857142857139</v>
      </c>
      <c r="K19" s="23" t="s">
        <v>33</v>
      </c>
      <c r="L19" s="28"/>
      <c r="N19" s="62"/>
      <c r="O19" s="62"/>
    </row>
    <row r="20" spans="1:15" s="18" customFormat="1" x14ac:dyDescent="0.25">
      <c r="A20" s="42" t="s">
        <v>27</v>
      </c>
      <c r="B20" s="59">
        <v>2013623043</v>
      </c>
      <c r="C20" s="59" t="s">
        <v>216</v>
      </c>
      <c r="D20" s="54">
        <v>18.571428571428573</v>
      </c>
      <c r="E20" s="52">
        <v>8.75</v>
      </c>
      <c r="F20" s="55">
        <v>18</v>
      </c>
      <c r="G20" s="6">
        <v>14.285714285714286</v>
      </c>
      <c r="H20" s="2">
        <v>29</v>
      </c>
      <c r="I20" s="52">
        <v>5</v>
      </c>
      <c r="J20" s="52">
        <f t="shared" si="0"/>
        <v>93.607142857142861</v>
      </c>
      <c r="K20" s="23" t="s">
        <v>32</v>
      </c>
      <c r="L20" s="39"/>
      <c r="N20" s="62"/>
      <c r="O20" s="62"/>
    </row>
    <row r="21" spans="1:15" x14ac:dyDescent="0.25">
      <c r="A21" s="21" t="s">
        <v>28</v>
      </c>
      <c r="B21" s="59">
        <v>2013786643</v>
      </c>
      <c r="C21" s="59" t="s">
        <v>217</v>
      </c>
      <c r="D21" s="54">
        <v>19.047619047619047</v>
      </c>
      <c r="E21" s="52">
        <v>10</v>
      </c>
      <c r="F21" s="55">
        <v>19.333333333333336</v>
      </c>
      <c r="G21" s="6">
        <v>17.714285714285715</v>
      </c>
      <c r="H21" s="2">
        <v>23</v>
      </c>
      <c r="I21" s="52">
        <v>5</v>
      </c>
      <c r="J21" s="52">
        <f t="shared" si="0"/>
        <v>94.095238095238102</v>
      </c>
      <c r="K21" s="23" t="s">
        <v>32</v>
      </c>
      <c r="L21" s="39"/>
    </row>
    <row r="22" spans="1:15" s="18" customFormat="1" x14ac:dyDescent="0.25">
      <c r="A22" s="42" t="s">
        <v>29</v>
      </c>
      <c r="B22" s="59">
        <v>2013886643</v>
      </c>
      <c r="C22" s="59" t="s">
        <v>218</v>
      </c>
      <c r="D22" s="54">
        <v>18.666666666666668</v>
      </c>
      <c r="E22" s="52">
        <v>8.75</v>
      </c>
      <c r="F22" s="55">
        <v>16</v>
      </c>
      <c r="G22" s="6">
        <v>17.142857142857142</v>
      </c>
      <c r="H22" s="2">
        <v>30</v>
      </c>
      <c r="I22" s="52">
        <v>5</v>
      </c>
      <c r="J22" s="52">
        <f t="shared" si="0"/>
        <v>95.55952380952381</v>
      </c>
      <c r="K22" s="23" t="s">
        <v>32</v>
      </c>
      <c r="L22" s="28"/>
      <c r="N22" s="62"/>
      <c r="O22" s="62"/>
    </row>
    <row r="23" spans="1:15" s="41" customFormat="1" x14ac:dyDescent="0.25">
      <c r="A23" s="21" t="s">
        <v>30</v>
      </c>
      <c r="B23" s="59">
        <v>2013926042</v>
      </c>
      <c r="C23" s="59" t="s">
        <v>238</v>
      </c>
      <c r="D23" s="54">
        <v>0</v>
      </c>
      <c r="E23" s="52">
        <v>0</v>
      </c>
      <c r="F23" s="55">
        <v>0</v>
      </c>
      <c r="G23" s="6">
        <v>0</v>
      </c>
      <c r="H23" s="2">
        <v>0</v>
      </c>
      <c r="I23" s="52">
        <v>2.5</v>
      </c>
      <c r="J23" s="52">
        <f t="shared" si="0"/>
        <v>2.5</v>
      </c>
      <c r="K23" s="23" t="s">
        <v>42</v>
      </c>
      <c r="L23" s="39"/>
      <c r="N23" s="63"/>
      <c r="O23" s="63"/>
    </row>
    <row r="24" spans="1:15" s="18" customFormat="1" x14ac:dyDescent="0.25">
      <c r="A24" s="42" t="s">
        <v>31</v>
      </c>
      <c r="B24" s="59">
        <v>2014086642</v>
      </c>
      <c r="C24" s="59" t="s">
        <v>219</v>
      </c>
      <c r="D24" s="54">
        <v>15.857142857142856</v>
      </c>
      <c r="E24" s="52">
        <v>2.5625</v>
      </c>
      <c r="F24" s="55">
        <v>16</v>
      </c>
      <c r="G24" s="6">
        <v>14.857142857142859</v>
      </c>
      <c r="H24" s="2">
        <v>24</v>
      </c>
      <c r="I24" s="52">
        <v>2.5</v>
      </c>
      <c r="J24" s="52">
        <f t="shared" si="0"/>
        <v>75.776785714285722</v>
      </c>
      <c r="K24" s="23" t="s">
        <v>38</v>
      </c>
      <c r="L24" s="39"/>
      <c r="N24" s="62"/>
      <c r="O24" s="62"/>
    </row>
    <row r="25" spans="1:15" s="18" customFormat="1" x14ac:dyDescent="0.25">
      <c r="A25" s="21" t="s">
        <v>55</v>
      </c>
      <c r="B25" s="59">
        <v>2014182643</v>
      </c>
      <c r="C25" s="59" t="s">
        <v>220</v>
      </c>
      <c r="D25" s="54">
        <v>17.428571428571427</v>
      </c>
      <c r="E25" s="52">
        <v>10</v>
      </c>
      <c r="F25" s="55">
        <v>20</v>
      </c>
      <c r="G25" s="6">
        <v>17.714285714285715</v>
      </c>
      <c r="H25" s="2">
        <v>26</v>
      </c>
      <c r="I25" s="52">
        <v>5</v>
      </c>
      <c r="J25" s="52">
        <f t="shared" si="0"/>
        <v>96.142857142857139</v>
      </c>
      <c r="K25" s="23" t="s">
        <v>32</v>
      </c>
      <c r="L25" s="28"/>
      <c r="N25" s="62"/>
      <c r="O25" s="62"/>
    </row>
    <row r="26" spans="1:15" s="18" customFormat="1" x14ac:dyDescent="0.25">
      <c r="A26" s="42" t="s">
        <v>56</v>
      </c>
      <c r="B26" s="59">
        <v>2021038642</v>
      </c>
      <c r="C26" s="59" t="s">
        <v>221</v>
      </c>
      <c r="D26" s="54">
        <v>19.80952380952381</v>
      </c>
      <c r="E26" s="52">
        <v>10</v>
      </c>
      <c r="F26" s="55">
        <v>18.666666666666668</v>
      </c>
      <c r="G26" s="6">
        <v>17.142857142857142</v>
      </c>
      <c r="H26" s="2">
        <v>27</v>
      </c>
      <c r="I26" s="52">
        <v>5</v>
      </c>
      <c r="J26" s="52">
        <f t="shared" si="0"/>
        <v>97.61904761904762</v>
      </c>
      <c r="K26" s="23" t="s">
        <v>32</v>
      </c>
      <c r="L26" s="39"/>
      <c r="M26" s="28"/>
      <c r="N26" s="62"/>
      <c r="O26" s="62"/>
    </row>
    <row r="27" spans="1:15" s="38" customFormat="1" x14ac:dyDescent="0.25">
      <c r="A27" s="21" t="s">
        <v>57</v>
      </c>
      <c r="B27" s="59">
        <v>2021166642</v>
      </c>
      <c r="C27" s="59" t="s">
        <v>222</v>
      </c>
      <c r="D27" s="54">
        <v>9.1428571428571441</v>
      </c>
      <c r="E27" s="52">
        <v>4.5</v>
      </c>
      <c r="F27" s="55">
        <v>16.666666666666668</v>
      </c>
      <c r="G27" s="6">
        <v>5.1428571428571423</v>
      </c>
      <c r="H27" s="2">
        <v>24</v>
      </c>
      <c r="I27" s="52">
        <v>5</v>
      </c>
      <c r="J27" s="52">
        <f t="shared" si="0"/>
        <v>64.452380952380949</v>
      </c>
      <c r="K27" s="23" t="s">
        <v>41</v>
      </c>
      <c r="L27" s="39"/>
      <c r="M27" s="39"/>
      <c r="N27" s="61"/>
      <c r="O27" s="61"/>
    </row>
    <row r="28" spans="1:15" s="18" customFormat="1" x14ac:dyDescent="0.25">
      <c r="A28" s="42" t="s">
        <v>58</v>
      </c>
      <c r="B28" s="59">
        <v>2021187643</v>
      </c>
      <c r="C28" s="59" t="s">
        <v>223</v>
      </c>
      <c r="D28" s="54">
        <v>17.238095238095237</v>
      </c>
      <c r="E28" s="52">
        <v>9.875</v>
      </c>
      <c r="F28" s="55">
        <v>20</v>
      </c>
      <c r="G28" s="6">
        <v>15.428571428571431</v>
      </c>
      <c r="H28" s="2">
        <v>25</v>
      </c>
      <c r="I28" s="52">
        <v>5</v>
      </c>
      <c r="J28" s="52">
        <f t="shared" si="0"/>
        <v>92.541666666666671</v>
      </c>
      <c r="K28" s="23" t="s">
        <v>32</v>
      </c>
      <c r="L28" s="39"/>
      <c r="M28" s="43"/>
      <c r="N28" s="62"/>
      <c r="O28" s="62"/>
    </row>
    <row r="29" spans="1:15" x14ac:dyDescent="0.25">
      <c r="A29" s="21" t="s">
        <v>59</v>
      </c>
      <c r="B29" s="59">
        <v>2021455642</v>
      </c>
      <c r="C29" s="59" t="s">
        <v>224</v>
      </c>
      <c r="D29" s="54">
        <v>15.61904761904762</v>
      </c>
      <c r="E29" s="52">
        <v>7.375</v>
      </c>
      <c r="F29" s="55">
        <v>14.666666666666666</v>
      </c>
      <c r="G29" s="6">
        <v>12.571428571428571</v>
      </c>
      <c r="H29" s="2">
        <v>26</v>
      </c>
      <c r="I29" s="52">
        <v>5</v>
      </c>
      <c r="J29" s="52">
        <f t="shared" si="0"/>
        <v>81.232142857142861</v>
      </c>
      <c r="K29" s="23" t="s">
        <v>36</v>
      </c>
      <c r="L29" s="39"/>
      <c r="M29" s="7"/>
      <c r="N29" s="64"/>
    </row>
    <row r="30" spans="1:15" x14ac:dyDescent="0.25">
      <c r="A30" s="42" t="s">
        <v>60</v>
      </c>
      <c r="B30" s="59">
        <v>2021481642</v>
      </c>
      <c r="C30" s="59" t="s">
        <v>225</v>
      </c>
      <c r="D30" s="54">
        <v>16.476190476190478</v>
      </c>
      <c r="E30" s="52">
        <v>8</v>
      </c>
      <c r="F30" s="55">
        <v>17.333333333333336</v>
      </c>
      <c r="G30" s="6">
        <v>12.571428571428571</v>
      </c>
      <c r="H30" s="2">
        <v>23</v>
      </c>
      <c r="I30" s="52">
        <v>2.5</v>
      </c>
      <c r="J30" s="52">
        <f t="shared" si="0"/>
        <v>79.88095238095238</v>
      </c>
      <c r="K30" s="23" t="s">
        <v>36</v>
      </c>
      <c r="L30" s="39"/>
      <c r="M30" s="7"/>
      <c r="N30" s="64"/>
    </row>
    <row r="31" spans="1:15" s="18" customFormat="1" x14ac:dyDescent="0.25">
      <c r="A31" s="42" t="s">
        <v>62</v>
      </c>
      <c r="B31" s="59">
        <v>2021509642</v>
      </c>
      <c r="C31" s="59" t="s">
        <v>226</v>
      </c>
      <c r="D31" s="54">
        <v>7.1904761904761898</v>
      </c>
      <c r="E31" s="52">
        <v>7.75</v>
      </c>
      <c r="F31" s="55">
        <v>13.333333333333332</v>
      </c>
      <c r="G31" s="6">
        <v>9.1428571428571441</v>
      </c>
      <c r="H31" s="2">
        <v>25</v>
      </c>
      <c r="I31" s="52">
        <v>5</v>
      </c>
      <c r="J31" s="52">
        <f t="shared" si="0"/>
        <v>67.416666666666657</v>
      </c>
      <c r="K31" s="23" t="s">
        <v>40</v>
      </c>
      <c r="L31" s="39"/>
      <c r="M31" s="27"/>
      <c r="N31" s="65"/>
      <c r="O31" s="62"/>
    </row>
    <row r="32" spans="1:15" s="18" customFormat="1" x14ac:dyDescent="0.25">
      <c r="A32" s="21" t="s">
        <v>118</v>
      </c>
      <c r="B32" s="59">
        <v>2021553642</v>
      </c>
      <c r="C32" s="59" t="s">
        <v>227</v>
      </c>
      <c r="D32" s="54">
        <v>16.714285714285715</v>
      </c>
      <c r="E32" s="52">
        <v>6.75</v>
      </c>
      <c r="F32" s="55">
        <v>20</v>
      </c>
      <c r="G32" s="6">
        <v>12</v>
      </c>
      <c r="H32" s="2">
        <v>25</v>
      </c>
      <c r="I32" s="52">
        <v>5</v>
      </c>
      <c r="J32" s="52">
        <f t="shared" si="0"/>
        <v>85.464285714285722</v>
      </c>
      <c r="K32" s="23" t="s">
        <v>35</v>
      </c>
      <c r="L32" s="28"/>
      <c r="M32" s="27"/>
      <c r="N32" s="65"/>
      <c r="O32" s="62"/>
    </row>
    <row r="33" spans="1:15" s="7" customFormat="1" x14ac:dyDescent="0.25">
      <c r="A33" s="22"/>
      <c r="B33" s="59">
        <v>2021562642</v>
      </c>
      <c r="C33" s="59" t="s">
        <v>228</v>
      </c>
      <c r="D33" s="54">
        <v>14.619047619047619</v>
      </c>
      <c r="E33" s="52">
        <v>6.875</v>
      </c>
      <c r="F33" s="55">
        <v>16.666666666666668</v>
      </c>
      <c r="G33" s="6">
        <v>15.428571428571431</v>
      </c>
      <c r="H33" s="2">
        <v>20</v>
      </c>
      <c r="I33" s="52">
        <v>5</v>
      </c>
      <c r="J33" s="52">
        <f t="shared" si="0"/>
        <v>78.589285714285722</v>
      </c>
      <c r="K33" s="23" t="s">
        <v>37</v>
      </c>
      <c r="N33" s="56"/>
      <c r="O33" s="56"/>
    </row>
    <row r="34" spans="1:15" s="7" customFormat="1" x14ac:dyDescent="0.25">
      <c r="A34" s="22"/>
      <c r="B34" s="59">
        <v>2021607642</v>
      </c>
      <c r="C34" s="59" t="s">
        <v>229</v>
      </c>
      <c r="D34" s="54">
        <v>19.523809523809526</v>
      </c>
      <c r="E34" s="52">
        <v>9.875</v>
      </c>
      <c r="F34" s="55">
        <v>14.666666666666666</v>
      </c>
      <c r="G34" s="6">
        <v>17.714285714285715</v>
      </c>
      <c r="H34" s="2">
        <v>22</v>
      </c>
      <c r="I34" s="52">
        <v>5</v>
      </c>
      <c r="J34" s="52">
        <f t="shared" si="0"/>
        <v>88.779761904761898</v>
      </c>
      <c r="K34" s="23" t="s">
        <v>34</v>
      </c>
      <c r="N34" s="56"/>
      <c r="O34" s="56"/>
    </row>
    <row r="35" spans="1:15" s="7" customFormat="1" x14ac:dyDescent="0.25">
      <c r="A35" s="22"/>
      <c r="B35" s="59">
        <v>2021661642</v>
      </c>
      <c r="C35" s="59" t="s">
        <v>230</v>
      </c>
      <c r="D35" s="54">
        <v>16.666666666666668</v>
      </c>
      <c r="E35" s="52">
        <v>6.5625</v>
      </c>
      <c r="F35" s="55">
        <v>16.666666666666668</v>
      </c>
      <c r="G35" s="6">
        <v>10.857142857142858</v>
      </c>
      <c r="H35" s="2">
        <v>26</v>
      </c>
      <c r="I35" s="52">
        <v>5</v>
      </c>
      <c r="J35" s="52">
        <f t="shared" si="0"/>
        <v>81.75297619047619</v>
      </c>
      <c r="K35" s="23" t="s">
        <v>36</v>
      </c>
      <c r="N35" s="56"/>
      <c r="O35" s="56"/>
    </row>
    <row r="36" spans="1:15" s="7" customFormat="1" x14ac:dyDescent="0.25">
      <c r="A36" s="22"/>
      <c r="B36" s="59">
        <v>2022375642</v>
      </c>
      <c r="C36" s="59" t="s">
        <v>231</v>
      </c>
      <c r="D36" s="54">
        <v>16.285714285714288</v>
      </c>
      <c r="E36" s="52">
        <v>9.5</v>
      </c>
      <c r="F36" s="55">
        <v>13.333333333333332</v>
      </c>
      <c r="G36" s="6">
        <v>13.714285714285715</v>
      </c>
      <c r="H36" s="2">
        <v>25</v>
      </c>
      <c r="I36" s="52">
        <v>5</v>
      </c>
      <c r="J36" s="52">
        <f t="shared" si="0"/>
        <v>82.833333333333343</v>
      </c>
      <c r="K36" s="23" t="s">
        <v>35</v>
      </c>
      <c r="N36" s="56"/>
      <c r="O36" s="56"/>
    </row>
    <row r="37" spans="1:15" s="7" customFormat="1" x14ac:dyDescent="0.25">
      <c r="A37" s="22"/>
      <c r="B37" s="59">
        <v>2022503642</v>
      </c>
      <c r="C37" s="59" t="s">
        <v>239</v>
      </c>
      <c r="D37" s="54">
        <v>19.523809523809526</v>
      </c>
      <c r="E37" s="52">
        <v>9.875</v>
      </c>
      <c r="F37" s="55">
        <v>16.666666666666668</v>
      </c>
      <c r="G37" s="6">
        <v>17.142857142857142</v>
      </c>
      <c r="H37" s="2">
        <v>22</v>
      </c>
      <c r="I37" s="52">
        <v>5</v>
      </c>
      <c r="J37" s="52">
        <f t="shared" si="0"/>
        <v>90.208333333333329</v>
      </c>
      <c r="K37" s="23" t="s">
        <v>33</v>
      </c>
      <c r="N37" s="56"/>
      <c r="O37" s="56"/>
    </row>
    <row r="38" spans="1:15" s="7" customFormat="1" x14ac:dyDescent="0.25">
      <c r="A38" s="22"/>
      <c r="B38" s="59">
        <v>2022566642</v>
      </c>
      <c r="C38" s="59" t="s">
        <v>232</v>
      </c>
      <c r="D38" s="54">
        <v>19.61904761904762</v>
      </c>
      <c r="E38" s="52">
        <v>9.875</v>
      </c>
      <c r="F38" s="55">
        <v>20</v>
      </c>
      <c r="G38" s="6">
        <v>18.285714285714288</v>
      </c>
      <c r="H38" s="2">
        <v>25</v>
      </c>
      <c r="I38" s="52">
        <v>5</v>
      </c>
      <c r="J38" s="52">
        <f t="shared" si="0"/>
        <v>97.779761904761912</v>
      </c>
      <c r="K38" s="23" t="s">
        <v>32</v>
      </c>
      <c r="N38" s="56"/>
      <c r="O38" s="56"/>
    </row>
    <row r="39" spans="1:15" s="7" customFormat="1" x14ac:dyDescent="0.25">
      <c r="A39" s="22"/>
      <c r="B39" s="59">
        <v>2031372642</v>
      </c>
      <c r="C39" s="59" t="s">
        <v>233</v>
      </c>
      <c r="D39" s="54">
        <v>18.095238095238098</v>
      </c>
      <c r="E39" s="52">
        <v>8.6875</v>
      </c>
      <c r="F39" s="55">
        <v>13.333333333333332</v>
      </c>
      <c r="G39" s="6">
        <v>18.285714285714288</v>
      </c>
      <c r="H39" s="2">
        <v>22</v>
      </c>
      <c r="I39" s="52">
        <v>5</v>
      </c>
      <c r="J39" s="52">
        <f t="shared" si="0"/>
        <v>85.401785714285722</v>
      </c>
      <c r="K39" s="23" t="s">
        <v>35</v>
      </c>
      <c r="N39" s="56"/>
      <c r="O39" s="56"/>
    </row>
    <row r="40" spans="1:15" s="7" customFormat="1" x14ac:dyDescent="0.25">
      <c r="A40" s="22"/>
      <c r="B40" s="59">
        <v>2031498642</v>
      </c>
      <c r="C40" s="59" t="s">
        <v>234</v>
      </c>
      <c r="D40" s="54">
        <v>19.714285714285719</v>
      </c>
      <c r="E40" s="52">
        <v>9.375</v>
      </c>
      <c r="F40" s="55">
        <v>19.333333333333336</v>
      </c>
      <c r="G40" s="6">
        <v>17.142857142857142</v>
      </c>
      <c r="H40" s="2">
        <v>30</v>
      </c>
      <c r="I40" s="52">
        <v>4</v>
      </c>
      <c r="J40" s="52">
        <f t="shared" si="0"/>
        <v>99.56547619047619</v>
      </c>
      <c r="K40" s="23" t="s">
        <v>32</v>
      </c>
      <c r="N40" s="56"/>
      <c r="O40" s="56"/>
    </row>
    <row r="41" spans="1:15" s="7" customFormat="1" x14ac:dyDescent="0.25">
      <c r="A41" s="22"/>
      <c r="B41" s="59">
        <v>2031727642</v>
      </c>
      <c r="C41" s="59" t="s">
        <v>235</v>
      </c>
      <c r="D41" s="54">
        <v>19.38095238095238</v>
      </c>
      <c r="E41" s="54">
        <v>8.875</v>
      </c>
      <c r="F41" s="57">
        <v>19.333333333333336</v>
      </c>
      <c r="G41" s="5">
        <v>17.714285714285715</v>
      </c>
      <c r="H41" s="54">
        <v>29</v>
      </c>
      <c r="I41" s="52">
        <v>2.5</v>
      </c>
      <c r="J41" s="52">
        <f t="shared" si="0"/>
        <v>96.803571428571431</v>
      </c>
      <c r="K41" s="2" t="s">
        <v>32</v>
      </c>
      <c r="N41" s="56"/>
      <c r="O41" s="56"/>
    </row>
    <row r="42" spans="1:15" s="7" customFormat="1" x14ac:dyDescent="0.25">
      <c r="A42" s="22"/>
      <c r="B42" s="4"/>
      <c r="D42" s="53"/>
      <c r="E42" s="53"/>
      <c r="F42" s="56"/>
      <c r="G42" s="8"/>
      <c r="H42" s="53"/>
      <c r="I42" s="58"/>
      <c r="J42" s="58"/>
      <c r="K42" s="4"/>
      <c r="N42" s="56"/>
      <c r="O42" s="56"/>
    </row>
    <row r="43" spans="1:15" s="7" customFormat="1" x14ac:dyDescent="0.25">
      <c r="A43" s="22"/>
      <c r="B43" s="4"/>
      <c r="D43" s="53"/>
      <c r="E43" s="53"/>
      <c r="F43" s="56"/>
      <c r="G43" s="8"/>
      <c r="H43" s="53"/>
      <c r="I43" s="58"/>
      <c r="J43" s="58"/>
      <c r="K43" s="4"/>
      <c r="N43" s="56"/>
      <c r="O43" s="56"/>
    </row>
    <row r="44" spans="1:15" s="7" customFormat="1" x14ac:dyDescent="0.25">
      <c r="A44" s="22"/>
      <c r="B44" s="4"/>
      <c r="C44" s="38" t="s">
        <v>43</v>
      </c>
      <c r="D44" s="61" t="s">
        <v>32</v>
      </c>
      <c r="E44" s="61">
        <v>11</v>
      </c>
      <c r="F44" s="56"/>
      <c r="G44" s="8"/>
      <c r="H44" s="53"/>
      <c r="I44" s="58"/>
      <c r="J44" s="58"/>
      <c r="K44" s="4"/>
      <c r="N44" s="56"/>
      <c r="O44" s="56"/>
    </row>
    <row r="45" spans="1:15" s="7" customFormat="1" x14ac:dyDescent="0.25">
      <c r="A45" s="22"/>
      <c r="B45" s="4"/>
      <c r="C45" s="38" t="s">
        <v>44</v>
      </c>
      <c r="D45" s="61" t="s">
        <v>33</v>
      </c>
      <c r="E45" s="61">
        <v>3</v>
      </c>
      <c r="F45" s="56"/>
      <c r="G45" s="8"/>
      <c r="H45" s="53"/>
      <c r="I45" s="58"/>
      <c r="J45" s="58"/>
      <c r="K45" s="4"/>
      <c r="N45" s="56"/>
      <c r="O45" s="56"/>
    </row>
    <row r="46" spans="1:15" s="7" customFormat="1" x14ac:dyDescent="0.25">
      <c r="A46" s="22"/>
      <c r="B46" s="4"/>
      <c r="C46" s="38" t="s">
        <v>45</v>
      </c>
      <c r="D46" s="61" t="s">
        <v>34</v>
      </c>
      <c r="E46" s="61">
        <v>5</v>
      </c>
      <c r="F46" s="56"/>
      <c r="G46" s="8"/>
      <c r="H46" s="53"/>
      <c r="I46" s="58"/>
      <c r="J46" s="58"/>
      <c r="K46" s="4"/>
      <c r="N46" s="56"/>
      <c r="O46" s="56"/>
    </row>
    <row r="47" spans="1:15" s="7" customFormat="1" x14ac:dyDescent="0.25">
      <c r="A47" s="22"/>
      <c r="B47" s="4"/>
      <c r="C47" s="38" t="s">
        <v>46</v>
      </c>
      <c r="D47" s="61" t="s">
        <v>35</v>
      </c>
      <c r="E47" s="61">
        <v>3</v>
      </c>
      <c r="F47" s="56"/>
      <c r="G47" s="8"/>
      <c r="H47" s="53"/>
      <c r="I47" s="58"/>
      <c r="J47" s="58"/>
      <c r="K47" s="4"/>
      <c r="N47" s="56"/>
      <c r="O47" s="56"/>
    </row>
    <row r="48" spans="1:15" s="7" customFormat="1" x14ac:dyDescent="0.25">
      <c r="A48" s="22"/>
      <c r="B48" s="4"/>
      <c r="C48" s="38" t="s">
        <v>47</v>
      </c>
      <c r="D48" s="61" t="s">
        <v>36</v>
      </c>
      <c r="E48" s="61">
        <v>4</v>
      </c>
      <c r="F48" s="56"/>
      <c r="G48" s="8"/>
      <c r="H48" s="53"/>
      <c r="I48" s="58"/>
      <c r="J48" s="58"/>
      <c r="K48" s="4"/>
      <c r="N48" s="56"/>
      <c r="O48" s="56"/>
    </row>
    <row r="49" spans="1:15" s="7" customFormat="1" x14ac:dyDescent="0.25">
      <c r="A49" s="22"/>
      <c r="B49" s="4"/>
      <c r="C49" s="38" t="s">
        <v>48</v>
      </c>
      <c r="D49" s="61" t="s">
        <v>37</v>
      </c>
      <c r="E49" s="61">
        <v>1</v>
      </c>
      <c r="F49" s="56"/>
      <c r="G49" s="8"/>
      <c r="H49" s="53"/>
      <c r="I49" s="58"/>
      <c r="J49" s="58"/>
      <c r="K49" s="4"/>
      <c r="N49" s="56"/>
      <c r="O49" s="56"/>
    </row>
    <row r="50" spans="1:15" s="7" customFormat="1" x14ac:dyDescent="0.25">
      <c r="A50" s="22"/>
      <c r="B50" s="4"/>
      <c r="C50" s="38" t="s">
        <v>49</v>
      </c>
      <c r="D50" s="61" t="s">
        <v>38</v>
      </c>
      <c r="E50" s="61">
        <v>3</v>
      </c>
      <c r="F50" s="56"/>
      <c r="G50" s="8"/>
      <c r="H50" s="53"/>
      <c r="I50" s="58"/>
      <c r="J50" s="58"/>
      <c r="K50" s="4"/>
      <c r="N50" s="56"/>
      <c r="O50" s="56"/>
    </row>
    <row r="51" spans="1:15" s="7" customFormat="1" x14ac:dyDescent="0.25">
      <c r="A51" s="22"/>
      <c r="C51" s="38" t="s">
        <v>50</v>
      </c>
      <c r="D51" s="61" t="s">
        <v>39</v>
      </c>
      <c r="E51" s="61">
        <v>0</v>
      </c>
      <c r="F51" s="56"/>
      <c r="H51" s="4"/>
      <c r="I51" s="4"/>
      <c r="J51" s="4"/>
      <c r="N51" s="56"/>
      <c r="O51" s="56"/>
    </row>
    <row r="52" spans="1:15" s="7" customFormat="1" x14ac:dyDescent="0.25">
      <c r="A52" s="22"/>
      <c r="C52" s="38" t="s">
        <v>51</v>
      </c>
      <c r="D52" s="61" t="s">
        <v>40</v>
      </c>
      <c r="E52" s="61">
        <v>3</v>
      </c>
      <c r="F52" s="56"/>
      <c r="H52" s="4"/>
      <c r="I52" s="4"/>
      <c r="J52" s="4"/>
      <c r="N52" s="56"/>
      <c r="O52" s="56"/>
    </row>
    <row r="53" spans="1:15" s="7" customFormat="1" x14ac:dyDescent="0.25">
      <c r="A53" s="22"/>
      <c r="C53" s="38" t="s">
        <v>52</v>
      </c>
      <c r="D53" s="61" t="s">
        <v>41</v>
      </c>
      <c r="E53" s="61">
        <v>2</v>
      </c>
      <c r="F53" s="56"/>
      <c r="H53" s="4"/>
      <c r="I53" s="4"/>
      <c r="J53" s="4"/>
      <c r="N53" s="56"/>
      <c r="O53" s="56"/>
    </row>
    <row r="54" spans="1:15" s="7" customFormat="1" x14ac:dyDescent="0.25">
      <c r="A54" s="22"/>
      <c r="B54" s="4"/>
      <c r="C54" s="38" t="s">
        <v>53</v>
      </c>
      <c r="D54" s="61" t="s">
        <v>42</v>
      </c>
      <c r="E54" s="61">
        <v>4</v>
      </c>
      <c r="F54" s="56"/>
      <c r="G54" s="8"/>
      <c r="H54" s="53"/>
      <c r="I54" s="58"/>
      <c r="J54" s="58"/>
      <c r="K54" s="4"/>
      <c r="N54" s="56"/>
      <c r="O54" s="56"/>
    </row>
    <row r="55" spans="1:15" s="7" customFormat="1" x14ac:dyDescent="0.25">
      <c r="A55" s="22"/>
      <c r="B55" s="4"/>
      <c r="C55" s="38" t="s">
        <v>54</v>
      </c>
      <c r="D55" s="61"/>
      <c r="E55" s="61">
        <f>SUM(E44:E54)</f>
        <v>39</v>
      </c>
      <c r="F55" s="56"/>
      <c r="G55" s="8"/>
      <c r="H55" s="53"/>
      <c r="I55" s="58"/>
      <c r="J55" s="58"/>
      <c r="K55" s="4"/>
      <c r="N55" s="56"/>
      <c r="O55" s="56"/>
    </row>
    <row r="56" spans="1:15" s="7" customFormat="1" x14ac:dyDescent="0.25">
      <c r="A56" s="22"/>
      <c r="B56" s="4"/>
      <c r="D56" s="53"/>
      <c r="E56" s="53"/>
      <c r="F56" s="56"/>
      <c r="G56" s="8"/>
      <c r="H56" s="53"/>
      <c r="I56" s="58"/>
      <c r="J56" s="58"/>
      <c r="K56" s="4"/>
      <c r="N56" s="56"/>
      <c r="O56" s="56"/>
    </row>
    <row r="57" spans="1:15" s="7" customFormat="1" x14ac:dyDescent="0.25">
      <c r="A57" s="22"/>
      <c r="B57" s="4"/>
      <c r="D57" s="53"/>
      <c r="E57" s="53"/>
      <c r="F57" s="56"/>
      <c r="G57" s="8"/>
      <c r="H57" s="53"/>
      <c r="I57" s="58"/>
      <c r="J57" s="58"/>
      <c r="K57" s="4"/>
      <c r="N57" s="56"/>
      <c r="O57" s="56"/>
    </row>
    <row r="58" spans="1:15" s="7" customFormat="1" x14ac:dyDescent="0.25">
      <c r="A58" s="22"/>
      <c r="B58" s="4"/>
      <c r="D58" s="53"/>
      <c r="E58" s="53"/>
      <c r="F58" s="56"/>
      <c r="G58" s="8"/>
      <c r="H58" s="53"/>
      <c r="I58" s="58"/>
      <c r="J58" s="58"/>
      <c r="K58" s="4"/>
      <c r="N58" s="56"/>
      <c r="O58" s="56"/>
    </row>
    <row r="59" spans="1:15" s="7" customFormat="1" x14ac:dyDescent="0.25">
      <c r="A59" s="22"/>
      <c r="B59" s="4"/>
      <c r="D59" s="53"/>
      <c r="E59" s="53"/>
      <c r="F59" s="56"/>
      <c r="G59" s="8"/>
      <c r="H59" s="53"/>
      <c r="I59" s="58"/>
      <c r="J59" s="58"/>
      <c r="K59" s="4"/>
      <c r="N59" s="56"/>
      <c r="O59" s="56"/>
    </row>
    <row r="60" spans="1:15" s="7" customFormat="1" x14ac:dyDescent="0.25">
      <c r="A60" s="22"/>
      <c r="B60" s="4"/>
      <c r="D60" s="53"/>
      <c r="E60" s="53"/>
      <c r="F60" s="56"/>
      <c r="G60" s="8"/>
      <c r="H60" s="53"/>
      <c r="I60" s="58"/>
      <c r="J60" s="58"/>
      <c r="K60" s="4"/>
      <c r="N60" s="56"/>
      <c r="O60" s="56"/>
    </row>
    <row r="61" spans="1:15" s="7" customFormat="1" x14ac:dyDescent="0.25">
      <c r="A61" s="22"/>
      <c r="B61" s="4"/>
      <c r="D61" s="53"/>
      <c r="E61" s="53"/>
      <c r="F61" s="56"/>
      <c r="G61" s="8"/>
      <c r="H61" s="53"/>
      <c r="I61" s="58"/>
      <c r="J61" s="58"/>
      <c r="K61" s="4"/>
      <c r="N61" s="56"/>
      <c r="O61" s="56"/>
    </row>
    <row r="62" spans="1:15" s="7" customFormat="1" x14ac:dyDescent="0.25">
      <c r="A62" s="22"/>
      <c r="B62" s="4"/>
      <c r="D62" s="53"/>
      <c r="E62" s="53"/>
      <c r="F62" s="56"/>
      <c r="G62" s="8"/>
      <c r="H62" s="53"/>
      <c r="I62" s="58"/>
      <c r="J62" s="58"/>
      <c r="K62" s="4"/>
      <c r="N62" s="56"/>
      <c r="O62" s="56"/>
    </row>
    <row r="63" spans="1:15" s="7" customFormat="1" x14ac:dyDescent="0.25">
      <c r="A63" s="22"/>
      <c r="B63" s="4"/>
      <c r="D63" s="53"/>
      <c r="E63" s="53"/>
      <c r="F63" s="56"/>
      <c r="G63" s="8"/>
      <c r="H63" s="53"/>
      <c r="I63" s="58"/>
      <c r="J63" s="58"/>
      <c r="K63" s="4"/>
      <c r="N63" s="56"/>
      <c r="O63" s="56"/>
    </row>
    <row r="64" spans="1:15" s="7" customFormat="1" x14ac:dyDescent="0.25">
      <c r="A64" s="22"/>
      <c r="B64" s="4"/>
      <c r="D64" s="53"/>
      <c r="E64" s="53"/>
      <c r="F64" s="56"/>
      <c r="G64" s="8"/>
      <c r="H64" s="53"/>
      <c r="I64" s="58"/>
      <c r="J64" s="58"/>
      <c r="K64" s="4"/>
      <c r="N64" s="56"/>
      <c r="O64" s="56"/>
    </row>
    <row r="65" spans="1:15" s="7" customFormat="1" x14ac:dyDescent="0.25">
      <c r="A65" s="22"/>
      <c r="B65" s="4"/>
      <c r="D65" s="53"/>
      <c r="E65" s="53"/>
      <c r="F65" s="56"/>
      <c r="G65" s="8"/>
      <c r="H65" s="53"/>
      <c r="I65" s="58"/>
      <c r="J65" s="58"/>
      <c r="K65" s="4"/>
      <c r="N65" s="56"/>
      <c r="O65" s="56"/>
    </row>
    <row r="66" spans="1:15" s="7" customFormat="1" x14ac:dyDescent="0.25">
      <c r="A66" s="22"/>
      <c r="B66" s="4"/>
      <c r="D66" s="53"/>
      <c r="E66" s="53"/>
      <c r="F66" s="56"/>
      <c r="G66" s="8"/>
      <c r="H66" s="53"/>
      <c r="I66" s="58"/>
      <c r="J66" s="58"/>
      <c r="K66" s="4"/>
      <c r="N66" s="56"/>
      <c r="O66" s="56"/>
    </row>
    <row r="67" spans="1:15" s="7" customFormat="1" x14ac:dyDescent="0.25">
      <c r="A67" s="22"/>
      <c r="B67" s="4"/>
      <c r="D67" s="53"/>
      <c r="E67" s="53"/>
      <c r="F67" s="56"/>
      <c r="G67" s="8"/>
      <c r="H67" s="53"/>
      <c r="I67" s="58"/>
      <c r="J67" s="58"/>
      <c r="K67" s="4"/>
      <c r="N67" s="56"/>
      <c r="O67" s="56"/>
    </row>
    <row r="68" spans="1:15" s="7" customFormat="1" x14ac:dyDescent="0.25">
      <c r="A68" s="22"/>
      <c r="B68" s="4"/>
      <c r="D68" s="53"/>
      <c r="E68" s="53"/>
      <c r="F68" s="56"/>
      <c r="G68" s="8"/>
      <c r="H68" s="53"/>
      <c r="I68" s="58"/>
      <c r="J68" s="58"/>
      <c r="K68" s="4"/>
      <c r="N68" s="56"/>
      <c r="O68" s="56"/>
    </row>
    <row r="69" spans="1:15" s="7" customFormat="1" x14ac:dyDescent="0.25">
      <c r="A69" s="22"/>
      <c r="B69" s="4"/>
      <c r="D69" s="53"/>
      <c r="E69" s="53"/>
      <c r="F69" s="56"/>
      <c r="G69" s="8"/>
      <c r="H69" s="53"/>
      <c r="I69" s="58"/>
      <c r="J69" s="58"/>
      <c r="K69" s="4"/>
      <c r="N69" s="56"/>
      <c r="O69" s="56"/>
    </row>
    <row r="70" spans="1:15" s="7" customFormat="1" x14ac:dyDescent="0.25">
      <c r="A70" s="22"/>
      <c r="B70" s="4"/>
      <c r="D70" s="53"/>
      <c r="E70" s="53"/>
      <c r="F70" s="56"/>
      <c r="G70" s="8"/>
      <c r="H70" s="53"/>
      <c r="I70" s="58"/>
      <c r="J70" s="58"/>
      <c r="K70" s="4"/>
      <c r="N70" s="56"/>
      <c r="O70" s="56"/>
    </row>
    <row r="71" spans="1:15" s="7" customFormat="1" x14ac:dyDescent="0.25">
      <c r="A71" s="22"/>
      <c r="B71" s="4"/>
      <c r="D71" s="53"/>
      <c r="E71" s="53"/>
      <c r="F71" s="56"/>
      <c r="G71" s="8"/>
      <c r="H71" s="53"/>
      <c r="I71" s="58"/>
      <c r="J71" s="58"/>
      <c r="K71" s="4"/>
      <c r="N71" s="56"/>
      <c r="O71" s="56"/>
    </row>
    <row r="72" spans="1:15" s="7" customFormat="1" x14ac:dyDescent="0.25">
      <c r="A72" s="22"/>
      <c r="B72" s="4"/>
      <c r="D72" s="53"/>
      <c r="E72" s="53"/>
      <c r="F72" s="56"/>
      <c r="G72" s="8"/>
      <c r="H72" s="53"/>
      <c r="I72" s="58"/>
      <c r="J72" s="58"/>
      <c r="K72" s="4"/>
      <c r="N72" s="56"/>
      <c r="O72" s="56"/>
    </row>
    <row r="73" spans="1:15" s="7" customFormat="1" x14ac:dyDescent="0.25">
      <c r="A73" s="22"/>
      <c r="B73" s="4"/>
      <c r="D73" s="53"/>
      <c r="E73" s="53"/>
      <c r="F73" s="56"/>
      <c r="G73" s="8"/>
      <c r="H73" s="53"/>
      <c r="I73" s="58"/>
      <c r="J73" s="58"/>
      <c r="K73" s="4"/>
      <c r="N73" s="56"/>
      <c r="O73" s="56"/>
    </row>
    <row r="74" spans="1:15" s="7" customFormat="1" x14ac:dyDescent="0.25">
      <c r="A74" s="22"/>
      <c r="B74" s="4"/>
      <c r="D74" s="53"/>
      <c r="E74" s="53"/>
      <c r="F74" s="56"/>
      <c r="G74" s="8"/>
      <c r="H74" s="53"/>
      <c r="I74" s="58"/>
      <c r="J74" s="58"/>
      <c r="K74" s="4"/>
      <c r="N74" s="56"/>
      <c r="O74" s="56"/>
    </row>
    <row r="75" spans="1:15" s="7" customFormat="1" x14ac:dyDescent="0.25">
      <c r="A75" s="22"/>
      <c r="B75" s="4"/>
      <c r="D75" s="53"/>
      <c r="E75" s="53"/>
      <c r="F75" s="56"/>
      <c r="G75" s="8"/>
      <c r="H75" s="53"/>
      <c r="I75" s="58"/>
      <c r="J75" s="58"/>
      <c r="K75" s="4"/>
      <c r="N75" s="56"/>
      <c r="O75" s="56"/>
    </row>
    <row r="76" spans="1:15" s="7" customFormat="1" x14ac:dyDescent="0.25">
      <c r="A76" s="22"/>
      <c r="B76" s="4"/>
      <c r="D76" s="53"/>
      <c r="E76" s="53"/>
      <c r="F76" s="56"/>
      <c r="G76" s="8"/>
      <c r="H76" s="53"/>
      <c r="I76" s="58"/>
      <c r="J76" s="58"/>
      <c r="K76" s="4"/>
      <c r="N76" s="56"/>
      <c r="O76" s="56"/>
    </row>
    <row r="77" spans="1:15" s="7" customFormat="1" x14ac:dyDescent="0.25">
      <c r="A77" s="22"/>
      <c r="B77" s="4"/>
      <c r="D77" s="53"/>
      <c r="E77" s="53"/>
      <c r="F77" s="56"/>
      <c r="G77" s="8"/>
      <c r="H77" s="53"/>
      <c r="I77" s="58"/>
      <c r="J77" s="58"/>
      <c r="K77" s="4"/>
      <c r="N77" s="56"/>
      <c r="O77" s="56"/>
    </row>
    <row r="78" spans="1:15" s="7" customFormat="1" x14ac:dyDescent="0.25">
      <c r="A78" s="22"/>
      <c r="B78" s="4"/>
      <c r="D78" s="53"/>
      <c r="E78" s="53"/>
      <c r="F78" s="56"/>
      <c r="G78" s="8"/>
      <c r="H78" s="53"/>
      <c r="I78" s="58"/>
      <c r="J78" s="58"/>
      <c r="K78" s="4"/>
      <c r="N78" s="56"/>
      <c r="O78" s="56"/>
    </row>
    <row r="79" spans="1:15" s="7" customFormat="1" x14ac:dyDescent="0.25">
      <c r="A79" s="22"/>
      <c r="B79" s="4"/>
      <c r="D79" s="53"/>
      <c r="E79" s="53"/>
      <c r="F79" s="56"/>
      <c r="G79" s="8"/>
      <c r="H79" s="53"/>
      <c r="I79" s="58"/>
      <c r="J79" s="58"/>
      <c r="K79" s="4"/>
      <c r="N79" s="56"/>
      <c r="O79" s="56"/>
    </row>
    <row r="80" spans="1:15" s="7" customFormat="1" x14ac:dyDescent="0.25">
      <c r="A80" s="22"/>
      <c r="B80" s="4"/>
      <c r="D80" s="53"/>
      <c r="E80" s="53"/>
      <c r="F80" s="56"/>
      <c r="G80" s="8"/>
      <c r="H80" s="53"/>
      <c r="I80" s="58"/>
      <c r="J80" s="58"/>
      <c r="K80" s="4"/>
      <c r="N80" s="56"/>
      <c r="O80" s="56"/>
    </row>
    <row r="81" spans="1:15" s="7" customFormat="1" x14ac:dyDescent="0.25">
      <c r="A81" s="22"/>
      <c r="B81" s="4"/>
      <c r="D81" s="53"/>
      <c r="E81" s="53"/>
      <c r="F81" s="56"/>
      <c r="G81" s="8"/>
      <c r="H81" s="53"/>
      <c r="I81" s="58"/>
      <c r="J81" s="58"/>
      <c r="K81" s="4"/>
      <c r="N81" s="56"/>
      <c r="O81" s="56"/>
    </row>
    <row r="82" spans="1:15" s="7" customFormat="1" x14ac:dyDescent="0.25">
      <c r="A82" s="22"/>
      <c r="B82" s="4"/>
      <c r="D82" s="53"/>
      <c r="E82" s="53"/>
      <c r="F82" s="56"/>
      <c r="G82" s="8"/>
      <c r="H82" s="53"/>
      <c r="I82" s="58"/>
      <c r="J82" s="58"/>
      <c r="K82" s="4"/>
      <c r="N82" s="56"/>
      <c r="O82" s="56"/>
    </row>
    <row r="83" spans="1:15" s="7" customFormat="1" x14ac:dyDescent="0.25">
      <c r="A83" s="22"/>
      <c r="B83" s="4"/>
      <c r="D83" s="53"/>
      <c r="E83" s="53"/>
      <c r="F83" s="56"/>
      <c r="G83" s="8"/>
      <c r="H83" s="53"/>
      <c r="I83" s="58"/>
      <c r="J83" s="58"/>
      <c r="K83" s="4"/>
      <c r="N83" s="56"/>
      <c r="O83" s="56"/>
    </row>
    <row r="84" spans="1:15" s="7" customFormat="1" x14ac:dyDescent="0.25">
      <c r="A84" s="22"/>
      <c r="B84" s="4"/>
      <c r="D84" s="53"/>
      <c r="E84" s="53"/>
      <c r="F84" s="56"/>
      <c r="G84" s="8"/>
      <c r="H84" s="53"/>
      <c r="I84" s="58"/>
      <c r="J84" s="58"/>
      <c r="K84" s="4"/>
      <c r="N84" s="56"/>
      <c r="O84" s="56"/>
    </row>
    <row r="85" spans="1:15" s="7" customFormat="1" x14ac:dyDescent="0.25">
      <c r="A85" s="22"/>
      <c r="B85" s="4"/>
      <c r="D85" s="53"/>
      <c r="E85" s="53"/>
      <c r="F85" s="56"/>
      <c r="G85" s="8"/>
      <c r="H85" s="53"/>
      <c r="I85" s="58"/>
      <c r="J85" s="58"/>
      <c r="K85" s="4"/>
      <c r="N85" s="56"/>
      <c r="O85" s="56"/>
    </row>
    <row r="86" spans="1:15" s="7" customFormat="1" x14ac:dyDescent="0.25">
      <c r="A86" s="22"/>
      <c r="B86" s="4"/>
      <c r="D86" s="53"/>
      <c r="E86" s="53"/>
      <c r="F86" s="56"/>
      <c r="G86" s="8"/>
      <c r="H86" s="53"/>
      <c r="I86" s="58"/>
      <c r="J86" s="58"/>
      <c r="K86" s="4"/>
      <c r="N86" s="56"/>
      <c r="O86" s="56"/>
    </row>
    <row r="87" spans="1:15" s="7" customFormat="1" x14ac:dyDescent="0.25">
      <c r="A87" s="22"/>
      <c r="B87" s="4"/>
      <c r="D87" s="53"/>
      <c r="E87" s="53"/>
      <c r="F87" s="56"/>
      <c r="G87" s="8"/>
      <c r="H87" s="53"/>
      <c r="I87" s="58"/>
      <c r="J87" s="58"/>
      <c r="K87" s="4"/>
      <c r="N87" s="56"/>
      <c r="O87" s="56"/>
    </row>
    <row r="88" spans="1:15" s="7" customFormat="1" x14ac:dyDescent="0.25">
      <c r="A88" s="22"/>
      <c r="B88" s="4"/>
      <c r="D88" s="53"/>
      <c r="E88" s="53"/>
      <c r="F88" s="56"/>
      <c r="G88" s="8"/>
      <c r="H88" s="53"/>
      <c r="I88" s="58"/>
      <c r="J88" s="58"/>
      <c r="K88" s="4"/>
      <c r="N88" s="56"/>
      <c r="O88" s="56"/>
    </row>
    <row r="89" spans="1:15" s="7" customFormat="1" x14ac:dyDescent="0.25">
      <c r="A89" s="22"/>
      <c r="B89" s="4"/>
      <c r="D89" s="53"/>
      <c r="E89" s="53"/>
      <c r="F89" s="56"/>
      <c r="G89" s="8"/>
      <c r="H89" s="53"/>
      <c r="I89" s="58"/>
      <c r="J89" s="58"/>
      <c r="K89" s="4"/>
      <c r="N89" s="56"/>
      <c r="O89" s="56"/>
    </row>
    <row r="90" spans="1:15" s="7" customFormat="1" x14ac:dyDescent="0.25">
      <c r="A90" s="22"/>
      <c r="B90" s="4"/>
      <c r="D90" s="53"/>
      <c r="E90" s="53"/>
      <c r="F90" s="56"/>
      <c r="G90" s="8"/>
      <c r="H90" s="53"/>
      <c r="I90" s="58"/>
      <c r="J90" s="58"/>
      <c r="K90" s="4"/>
      <c r="N90" s="56"/>
      <c r="O90" s="56"/>
    </row>
    <row r="91" spans="1:15" s="7" customFormat="1" x14ac:dyDescent="0.25">
      <c r="A91" s="22"/>
      <c r="B91" s="4"/>
      <c r="D91" s="53"/>
      <c r="E91" s="53"/>
      <c r="F91" s="56"/>
      <c r="G91" s="8"/>
      <c r="H91" s="53"/>
      <c r="I91" s="58"/>
      <c r="J91" s="58"/>
      <c r="K91" s="4"/>
      <c r="N91" s="56"/>
      <c r="O91" s="56"/>
    </row>
    <row r="92" spans="1:15" s="7" customFormat="1" x14ac:dyDescent="0.25">
      <c r="A92" s="22"/>
      <c r="B92" s="4"/>
      <c r="D92" s="53"/>
      <c r="E92" s="53"/>
      <c r="F92" s="56"/>
      <c r="G92" s="8"/>
      <c r="H92" s="53"/>
      <c r="I92" s="58"/>
      <c r="J92" s="58"/>
      <c r="K92" s="4"/>
      <c r="N92" s="56"/>
      <c r="O92" s="56"/>
    </row>
    <row r="93" spans="1:15" s="7" customFormat="1" x14ac:dyDescent="0.25">
      <c r="A93" s="22"/>
      <c r="B93" s="4"/>
      <c r="D93" s="53"/>
      <c r="E93" s="53"/>
      <c r="F93" s="56"/>
      <c r="G93" s="8"/>
      <c r="H93" s="53"/>
      <c r="I93" s="58"/>
      <c r="J93" s="58"/>
      <c r="K93" s="4"/>
      <c r="N93" s="56"/>
      <c r="O93" s="56"/>
    </row>
    <row r="94" spans="1:15" s="7" customFormat="1" x14ac:dyDescent="0.25">
      <c r="A94" s="22"/>
      <c r="B94" s="4"/>
      <c r="D94" s="53"/>
      <c r="E94" s="53"/>
      <c r="F94" s="56"/>
      <c r="G94" s="8"/>
      <c r="H94" s="53"/>
      <c r="I94" s="58"/>
      <c r="J94" s="58"/>
      <c r="K94" s="4"/>
      <c r="N94" s="56"/>
      <c r="O94" s="56"/>
    </row>
    <row r="95" spans="1:15" s="7" customFormat="1" x14ac:dyDescent="0.25">
      <c r="A95" s="22"/>
      <c r="B95" s="4"/>
      <c r="D95" s="53"/>
      <c r="E95" s="53"/>
      <c r="F95" s="56"/>
      <c r="G95" s="8"/>
      <c r="H95" s="53"/>
      <c r="I95" s="58"/>
      <c r="J95" s="58"/>
      <c r="K95" s="4"/>
      <c r="N95" s="56"/>
      <c r="O95" s="56"/>
    </row>
    <row r="96" spans="1:15" s="7" customFormat="1" x14ac:dyDescent="0.25">
      <c r="A96" s="22"/>
      <c r="B96" s="4"/>
      <c r="D96" s="53"/>
      <c r="E96" s="53"/>
      <c r="F96" s="56"/>
      <c r="G96" s="8"/>
      <c r="H96" s="53"/>
      <c r="I96" s="58"/>
      <c r="J96" s="58"/>
      <c r="K96" s="4"/>
      <c r="N96" s="56"/>
      <c r="O96" s="56"/>
    </row>
    <row r="97" spans="1:15" s="7" customFormat="1" x14ac:dyDescent="0.25">
      <c r="A97" s="22"/>
      <c r="B97" s="4"/>
      <c r="D97" s="53"/>
      <c r="E97" s="53"/>
      <c r="F97" s="56"/>
      <c r="G97" s="8"/>
      <c r="H97" s="53"/>
      <c r="I97" s="58"/>
      <c r="J97" s="58"/>
      <c r="K97" s="4"/>
      <c r="N97" s="56"/>
      <c r="O97" s="56"/>
    </row>
    <row r="98" spans="1:15" s="7" customFormat="1" x14ac:dyDescent="0.25">
      <c r="A98" s="22"/>
      <c r="B98" s="4"/>
      <c r="D98" s="53"/>
      <c r="E98" s="53"/>
      <c r="F98" s="56"/>
      <c r="G98" s="8"/>
      <c r="H98" s="53"/>
      <c r="I98" s="58"/>
      <c r="J98" s="58"/>
      <c r="K98" s="4"/>
      <c r="N98" s="56"/>
      <c r="O98" s="56"/>
    </row>
    <row r="99" spans="1:15" s="7" customFormat="1" x14ac:dyDescent="0.25">
      <c r="A99" s="22"/>
      <c r="B99" s="4"/>
      <c r="D99" s="53"/>
      <c r="E99" s="53"/>
      <c r="F99" s="56"/>
      <c r="G99" s="8"/>
      <c r="H99" s="53"/>
      <c r="I99" s="58"/>
      <c r="J99" s="58"/>
      <c r="K99" s="4"/>
      <c r="N99" s="56"/>
      <c r="O99" s="56"/>
    </row>
    <row r="100" spans="1:15" s="7" customFormat="1" x14ac:dyDescent="0.25">
      <c r="A100" s="22"/>
      <c r="B100" s="4"/>
      <c r="D100" s="53"/>
      <c r="E100" s="53"/>
      <c r="F100" s="56"/>
      <c r="G100" s="8"/>
      <c r="H100" s="53"/>
      <c r="I100" s="58"/>
      <c r="J100" s="58"/>
      <c r="K100" s="4"/>
      <c r="N100" s="56"/>
      <c r="O100" s="56"/>
    </row>
    <row r="101" spans="1:15" s="7" customFormat="1" x14ac:dyDescent="0.25">
      <c r="A101" s="22"/>
      <c r="B101" s="4"/>
      <c r="D101" s="53"/>
      <c r="E101" s="53"/>
      <c r="F101" s="56"/>
      <c r="G101" s="8"/>
      <c r="H101" s="53"/>
      <c r="I101" s="58"/>
      <c r="J101" s="58"/>
      <c r="K101" s="4"/>
      <c r="N101" s="56"/>
      <c r="O101" s="56"/>
    </row>
    <row r="102" spans="1:15" s="7" customFormat="1" x14ac:dyDescent="0.25">
      <c r="A102" s="22"/>
      <c r="B102" s="4"/>
      <c r="D102" s="53"/>
      <c r="E102" s="53"/>
      <c r="F102" s="56"/>
      <c r="G102" s="8"/>
      <c r="H102" s="53"/>
      <c r="I102" s="58"/>
      <c r="J102" s="58"/>
      <c r="K102" s="4"/>
      <c r="N102" s="56"/>
      <c r="O102" s="56"/>
    </row>
    <row r="103" spans="1:15" s="7" customFormat="1" x14ac:dyDescent="0.25">
      <c r="A103" s="22"/>
      <c r="B103" s="4"/>
      <c r="D103" s="53"/>
      <c r="E103" s="53"/>
      <c r="F103" s="56"/>
      <c r="G103" s="8"/>
      <c r="H103" s="53"/>
      <c r="I103" s="58"/>
      <c r="J103" s="58"/>
      <c r="K103" s="4"/>
      <c r="N103" s="56"/>
      <c r="O103" s="56"/>
    </row>
    <row r="104" spans="1:15" s="7" customFormat="1" x14ac:dyDescent="0.25">
      <c r="A104" s="22"/>
      <c r="B104" s="4"/>
      <c r="D104" s="53"/>
      <c r="E104" s="53"/>
      <c r="F104" s="56"/>
      <c r="G104" s="8"/>
      <c r="H104" s="53"/>
      <c r="I104" s="58"/>
      <c r="J104" s="58"/>
      <c r="K104" s="4"/>
      <c r="N104" s="56"/>
      <c r="O104" s="56"/>
    </row>
    <row r="105" spans="1:15" s="7" customFormat="1" x14ac:dyDescent="0.25">
      <c r="A105" s="22"/>
      <c r="B105" s="4"/>
      <c r="D105" s="53"/>
      <c r="E105" s="53"/>
      <c r="F105" s="56"/>
      <c r="G105" s="8"/>
      <c r="H105" s="53"/>
      <c r="I105" s="58"/>
      <c r="J105" s="58"/>
      <c r="K105" s="4"/>
      <c r="N105" s="56"/>
      <c r="O105" s="56"/>
    </row>
    <row r="106" spans="1:15" s="7" customFormat="1" x14ac:dyDescent="0.25">
      <c r="A106" s="22"/>
      <c r="B106" s="4"/>
      <c r="D106" s="53"/>
      <c r="E106" s="53"/>
      <c r="F106" s="56"/>
      <c r="G106" s="8"/>
      <c r="H106" s="53"/>
      <c r="I106" s="58"/>
      <c r="J106" s="58"/>
      <c r="K106" s="4"/>
      <c r="N106" s="56"/>
      <c r="O106" s="56"/>
    </row>
    <row r="107" spans="1:15" s="7" customFormat="1" x14ac:dyDescent="0.25">
      <c r="A107" s="22"/>
      <c r="B107" s="4"/>
      <c r="D107" s="53"/>
      <c r="E107" s="53"/>
      <c r="F107" s="56"/>
      <c r="G107" s="8"/>
      <c r="H107" s="53"/>
      <c r="I107" s="58"/>
      <c r="J107" s="58"/>
      <c r="K107" s="4"/>
      <c r="N107" s="56"/>
      <c r="O107" s="56"/>
    </row>
    <row r="108" spans="1:15" s="7" customFormat="1" x14ac:dyDescent="0.25">
      <c r="A108" s="22"/>
      <c r="B108" s="4"/>
      <c r="D108" s="53"/>
      <c r="E108" s="53"/>
      <c r="F108" s="56"/>
      <c r="G108" s="8"/>
      <c r="H108" s="53"/>
      <c r="I108" s="58"/>
      <c r="J108" s="58"/>
      <c r="K108" s="4"/>
      <c r="N108" s="56"/>
      <c r="O108" s="56"/>
    </row>
    <row r="109" spans="1:15" s="7" customFormat="1" x14ac:dyDescent="0.25">
      <c r="A109" s="22"/>
      <c r="B109" s="4"/>
      <c r="D109" s="53"/>
      <c r="E109" s="53"/>
      <c r="F109" s="56"/>
      <c r="G109" s="8"/>
      <c r="H109" s="53"/>
      <c r="I109" s="58"/>
      <c r="J109" s="58"/>
      <c r="K109" s="4"/>
      <c r="N109" s="56"/>
      <c r="O109" s="56"/>
    </row>
    <row r="110" spans="1:15" s="7" customFormat="1" x14ac:dyDescent="0.25">
      <c r="A110" s="22"/>
      <c r="B110" s="4"/>
      <c r="D110" s="53"/>
      <c r="E110" s="53"/>
      <c r="F110" s="56"/>
      <c r="G110" s="8"/>
      <c r="H110" s="53"/>
      <c r="I110" s="58"/>
      <c r="J110" s="58"/>
      <c r="K110" s="4"/>
      <c r="N110" s="56"/>
      <c r="O110" s="56"/>
    </row>
    <row r="111" spans="1:15" s="7" customFormat="1" x14ac:dyDescent="0.25">
      <c r="A111" s="22"/>
      <c r="B111" s="4"/>
      <c r="D111" s="53"/>
      <c r="E111" s="53"/>
      <c r="F111" s="56"/>
      <c r="G111" s="8"/>
      <c r="H111" s="53"/>
      <c r="I111" s="58"/>
      <c r="J111" s="58"/>
      <c r="K111" s="4"/>
      <c r="N111" s="56"/>
      <c r="O111" s="56"/>
    </row>
    <row r="112" spans="1:15" s="7" customFormat="1" x14ac:dyDescent="0.25">
      <c r="A112" s="22"/>
      <c r="B112" s="4"/>
      <c r="D112" s="53"/>
      <c r="E112" s="53"/>
      <c r="F112" s="56"/>
      <c r="G112" s="8"/>
      <c r="H112" s="53"/>
      <c r="I112" s="58"/>
      <c r="J112" s="58"/>
      <c r="K112" s="4"/>
      <c r="N112" s="56"/>
      <c r="O112" s="56"/>
    </row>
    <row r="113" spans="1:15" s="7" customFormat="1" x14ac:dyDescent="0.25">
      <c r="A113" s="22"/>
      <c r="B113" s="4"/>
      <c r="D113" s="53"/>
      <c r="E113" s="53"/>
      <c r="F113" s="56"/>
      <c r="G113" s="8"/>
      <c r="H113" s="53"/>
      <c r="I113" s="58"/>
      <c r="J113" s="58"/>
      <c r="K113" s="4"/>
      <c r="N113" s="56"/>
      <c r="O113" s="56"/>
    </row>
    <row r="114" spans="1:15" s="7" customFormat="1" x14ac:dyDescent="0.25">
      <c r="A114" s="22"/>
      <c r="B114" s="4"/>
      <c r="D114" s="53"/>
      <c r="E114" s="53"/>
      <c r="F114" s="56"/>
      <c r="G114" s="8"/>
      <c r="H114" s="53"/>
      <c r="I114" s="58"/>
      <c r="J114" s="58"/>
      <c r="K114" s="4"/>
      <c r="N114" s="56"/>
      <c r="O114" s="56"/>
    </row>
    <row r="115" spans="1:15" s="7" customFormat="1" x14ac:dyDescent="0.25">
      <c r="A115" s="22"/>
      <c r="B115" s="4"/>
      <c r="D115" s="53"/>
      <c r="E115" s="53"/>
      <c r="F115" s="56"/>
      <c r="G115" s="8"/>
      <c r="H115" s="53"/>
      <c r="I115" s="58"/>
      <c r="J115" s="58"/>
      <c r="K115" s="4"/>
      <c r="N115" s="56"/>
      <c r="O115" s="56"/>
    </row>
    <row r="116" spans="1:15" s="7" customFormat="1" x14ac:dyDescent="0.25">
      <c r="A116" s="22"/>
      <c r="B116" s="4"/>
      <c r="D116" s="53"/>
      <c r="E116" s="53"/>
      <c r="F116" s="56"/>
      <c r="G116" s="8"/>
      <c r="H116" s="53"/>
      <c r="I116" s="58"/>
      <c r="J116" s="58"/>
      <c r="K116" s="4"/>
      <c r="N116" s="56"/>
      <c r="O116" s="56"/>
    </row>
    <row r="117" spans="1:15" s="7" customFormat="1" x14ac:dyDescent="0.25">
      <c r="A117" s="22"/>
      <c r="B117" s="4"/>
      <c r="D117" s="53"/>
      <c r="E117" s="53"/>
      <c r="F117" s="56"/>
      <c r="G117" s="8"/>
      <c r="H117" s="53"/>
      <c r="I117" s="58"/>
      <c r="J117" s="58"/>
      <c r="K117" s="4"/>
      <c r="N117" s="56"/>
      <c r="O117" s="56"/>
    </row>
    <row r="118" spans="1:15" s="7" customFormat="1" x14ac:dyDescent="0.25">
      <c r="A118" s="22"/>
      <c r="B118" s="4"/>
      <c r="D118" s="53"/>
      <c r="E118" s="53"/>
      <c r="F118" s="56"/>
      <c r="G118" s="8"/>
      <c r="H118" s="53"/>
      <c r="I118" s="58"/>
      <c r="J118" s="58"/>
      <c r="K118" s="4"/>
      <c r="N118" s="56"/>
      <c r="O118" s="56"/>
    </row>
    <row r="119" spans="1:15" s="7" customFormat="1" x14ac:dyDescent="0.25">
      <c r="A119" s="22"/>
      <c r="B119" s="4"/>
      <c r="D119" s="53"/>
      <c r="E119" s="53"/>
      <c r="F119" s="56"/>
      <c r="G119" s="8"/>
      <c r="H119" s="53"/>
      <c r="I119" s="58"/>
      <c r="J119" s="58"/>
      <c r="K119" s="4"/>
      <c r="N119" s="56"/>
      <c r="O119" s="56"/>
    </row>
    <row r="120" spans="1:15" s="7" customFormat="1" x14ac:dyDescent="0.25">
      <c r="A120" s="22"/>
      <c r="B120" s="4"/>
      <c r="D120" s="53"/>
      <c r="E120" s="53"/>
      <c r="F120" s="56"/>
      <c r="G120" s="8"/>
      <c r="H120" s="53"/>
      <c r="I120" s="58"/>
      <c r="J120" s="58"/>
      <c r="K120" s="4"/>
      <c r="N120" s="56"/>
      <c r="O120" s="56"/>
    </row>
    <row r="121" spans="1:15" s="7" customFormat="1" x14ac:dyDescent="0.25">
      <c r="A121" s="22"/>
      <c r="B121" s="4"/>
      <c r="D121" s="53"/>
      <c r="E121" s="53"/>
      <c r="F121" s="56"/>
      <c r="G121" s="8"/>
      <c r="H121" s="53"/>
      <c r="I121" s="58"/>
      <c r="J121" s="58"/>
      <c r="K121" s="4"/>
      <c r="N121" s="56"/>
      <c r="O121" s="56"/>
    </row>
    <row r="122" spans="1:15" s="7" customFormat="1" x14ac:dyDescent="0.25">
      <c r="A122" s="22"/>
      <c r="B122" s="4"/>
      <c r="D122" s="53"/>
      <c r="E122" s="53"/>
      <c r="F122" s="56"/>
      <c r="G122" s="8"/>
      <c r="H122" s="53"/>
      <c r="I122" s="58"/>
      <c r="J122" s="58"/>
      <c r="K122" s="4"/>
      <c r="N122" s="56"/>
      <c r="O122" s="56"/>
    </row>
    <row r="123" spans="1:15" s="7" customFormat="1" x14ac:dyDescent="0.25">
      <c r="A123" s="22"/>
      <c r="B123" s="4"/>
      <c r="D123" s="53"/>
      <c r="E123" s="53"/>
      <c r="F123" s="56"/>
      <c r="G123" s="8"/>
      <c r="H123" s="53"/>
      <c r="I123" s="58"/>
      <c r="J123" s="58"/>
      <c r="K123" s="4"/>
      <c r="N123" s="56"/>
      <c r="O123" s="56"/>
    </row>
    <row r="124" spans="1:15" s="7" customFormat="1" x14ac:dyDescent="0.25">
      <c r="A124" s="22"/>
      <c r="B124" s="4"/>
      <c r="D124" s="53"/>
      <c r="E124" s="53"/>
      <c r="F124" s="56"/>
      <c r="G124" s="8"/>
      <c r="H124" s="53"/>
      <c r="I124" s="58"/>
      <c r="J124" s="58"/>
      <c r="K124" s="4"/>
      <c r="N124" s="56"/>
      <c r="O124" s="56"/>
    </row>
    <row r="125" spans="1:15" s="7" customFormat="1" x14ac:dyDescent="0.25">
      <c r="A125" s="22"/>
      <c r="B125" s="4"/>
      <c r="D125" s="53"/>
      <c r="E125" s="53"/>
      <c r="F125" s="56"/>
      <c r="G125" s="8"/>
      <c r="H125" s="53"/>
      <c r="I125" s="58"/>
      <c r="J125" s="58"/>
      <c r="K125" s="4"/>
      <c r="N125" s="56"/>
      <c r="O125" s="56"/>
    </row>
    <row r="126" spans="1:15" s="7" customFormat="1" x14ac:dyDescent="0.25">
      <c r="A126" s="22"/>
      <c r="B126" s="4"/>
      <c r="D126" s="53"/>
      <c r="E126" s="53"/>
      <c r="F126" s="56"/>
      <c r="G126" s="8"/>
      <c r="H126" s="53"/>
      <c r="I126" s="58"/>
      <c r="J126" s="58"/>
      <c r="K126" s="4"/>
      <c r="N126" s="56"/>
      <c r="O126" s="56"/>
    </row>
    <row r="127" spans="1:15" s="7" customFormat="1" x14ac:dyDescent="0.25">
      <c r="A127" s="22"/>
      <c r="B127" s="4"/>
      <c r="D127" s="53"/>
      <c r="E127" s="53"/>
      <c r="F127" s="56"/>
      <c r="G127" s="8"/>
      <c r="H127" s="53"/>
      <c r="I127" s="58"/>
      <c r="J127" s="58"/>
      <c r="K127" s="4"/>
      <c r="N127" s="56"/>
      <c r="O127" s="56"/>
    </row>
    <row r="128" spans="1:15" s="7" customFormat="1" x14ac:dyDescent="0.25">
      <c r="A128" s="22"/>
      <c r="B128" s="4"/>
      <c r="D128" s="53"/>
      <c r="E128" s="53"/>
      <c r="F128" s="56"/>
      <c r="G128" s="8"/>
      <c r="H128" s="53"/>
      <c r="I128" s="58"/>
      <c r="J128" s="58"/>
      <c r="K128" s="4"/>
      <c r="N128" s="56"/>
      <c r="O128" s="56"/>
    </row>
    <row r="129" spans="1:15" s="7" customFormat="1" x14ac:dyDescent="0.25">
      <c r="A129" s="22"/>
      <c r="B129" s="4"/>
      <c r="D129" s="53"/>
      <c r="E129" s="53"/>
      <c r="F129" s="56"/>
      <c r="G129" s="8"/>
      <c r="H129" s="53"/>
      <c r="I129" s="58"/>
      <c r="J129" s="58"/>
      <c r="K129" s="4"/>
      <c r="N129" s="56"/>
      <c r="O129" s="56"/>
    </row>
    <row r="130" spans="1:15" s="7" customFormat="1" x14ac:dyDescent="0.25">
      <c r="A130" s="22"/>
      <c r="B130" s="4"/>
      <c r="D130" s="53"/>
      <c r="E130" s="53"/>
      <c r="F130" s="56"/>
      <c r="G130" s="8"/>
      <c r="H130" s="53"/>
      <c r="I130" s="58"/>
      <c r="J130" s="58"/>
      <c r="K130" s="4"/>
      <c r="N130" s="56"/>
      <c r="O130" s="56"/>
    </row>
    <row r="131" spans="1:15" s="7" customFormat="1" x14ac:dyDescent="0.25">
      <c r="A131" s="22"/>
      <c r="B131" s="4"/>
      <c r="D131" s="53"/>
      <c r="E131" s="53"/>
      <c r="F131" s="56"/>
      <c r="G131" s="8"/>
      <c r="H131" s="53"/>
      <c r="I131" s="58"/>
      <c r="J131" s="58"/>
      <c r="K131" s="4"/>
      <c r="N131" s="56"/>
      <c r="O131" s="56"/>
    </row>
    <row r="132" spans="1:15" s="7" customFormat="1" x14ac:dyDescent="0.25">
      <c r="A132" s="22"/>
      <c r="B132" s="4"/>
      <c r="D132" s="53"/>
      <c r="E132" s="53"/>
      <c r="F132" s="56"/>
      <c r="G132" s="8"/>
      <c r="H132" s="53"/>
      <c r="I132" s="58"/>
      <c r="J132" s="58"/>
      <c r="K132" s="4"/>
      <c r="N132" s="56"/>
      <c r="O132" s="56"/>
    </row>
    <row r="133" spans="1:15" s="7" customFormat="1" x14ac:dyDescent="0.25">
      <c r="A133" s="22"/>
      <c r="B133" s="4"/>
      <c r="D133" s="53"/>
      <c r="E133" s="53"/>
      <c r="F133" s="56"/>
      <c r="G133" s="8"/>
      <c r="H133" s="53"/>
      <c r="I133" s="58"/>
      <c r="J133" s="58"/>
      <c r="K133" s="4"/>
      <c r="N133" s="56"/>
      <c r="O133" s="56"/>
    </row>
    <row r="134" spans="1:15" s="7" customFormat="1" x14ac:dyDescent="0.25">
      <c r="A134" s="22"/>
      <c r="B134" s="4"/>
      <c r="D134" s="53"/>
      <c r="E134" s="53"/>
      <c r="F134" s="56"/>
      <c r="G134" s="8"/>
      <c r="H134" s="53"/>
      <c r="I134" s="58"/>
      <c r="J134" s="58"/>
      <c r="K134" s="4"/>
      <c r="N134" s="56"/>
      <c r="O134" s="56"/>
    </row>
    <row r="135" spans="1:15" s="7" customFormat="1" x14ac:dyDescent="0.25">
      <c r="A135" s="22"/>
      <c r="B135" s="4"/>
      <c r="D135" s="53"/>
      <c r="E135" s="53"/>
      <c r="F135" s="56"/>
      <c r="G135" s="8"/>
      <c r="H135" s="53"/>
      <c r="I135" s="58"/>
      <c r="J135" s="58"/>
      <c r="K135" s="4"/>
      <c r="N135" s="56"/>
      <c r="O135" s="56"/>
    </row>
    <row r="136" spans="1:15" s="7" customFormat="1" x14ac:dyDescent="0.25">
      <c r="A136" s="22"/>
      <c r="B136" s="4"/>
      <c r="D136" s="53"/>
      <c r="E136" s="53"/>
      <c r="F136" s="56"/>
      <c r="G136" s="8"/>
      <c r="H136" s="53"/>
      <c r="I136" s="58"/>
      <c r="J136" s="58"/>
      <c r="K136" s="4"/>
      <c r="N136" s="56"/>
      <c r="O136" s="56"/>
    </row>
    <row r="137" spans="1:15" s="7" customFormat="1" x14ac:dyDescent="0.25">
      <c r="A137" s="22"/>
      <c r="B137" s="4"/>
      <c r="D137" s="53"/>
      <c r="E137" s="53"/>
      <c r="F137" s="56"/>
      <c r="G137" s="8"/>
      <c r="H137" s="53"/>
      <c r="I137" s="58"/>
      <c r="J137" s="58"/>
      <c r="K137" s="4"/>
      <c r="N137" s="56"/>
      <c r="O137" s="56"/>
    </row>
    <row r="138" spans="1:15" s="7" customFormat="1" x14ac:dyDescent="0.25">
      <c r="A138" s="22"/>
      <c r="B138" s="4"/>
      <c r="D138" s="53"/>
      <c r="E138" s="53"/>
      <c r="F138" s="56"/>
      <c r="G138" s="8"/>
      <c r="H138" s="53"/>
      <c r="I138" s="58"/>
      <c r="J138" s="58"/>
      <c r="K138" s="4"/>
      <c r="N138" s="56"/>
      <c r="O138" s="56"/>
    </row>
    <row r="139" spans="1:15" s="7" customFormat="1" x14ac:dyDescent="0.25">
      <c r="A139" s="22"/>
      <c r="B139" s="4"/>
      <c r="D139" s="53"/>
      <c r="E139" s="53"/>
      <c r="F139" s="56"/>
      <c r="G139" s="8"/>
      <c r="H139" s="53"/>
      <c r="I139" s="58"/>
      <c r="J139" s="58"/>
      <c r="K139" s="4"/>
      <c r="N139" s="56"/>
      <c r="O139" s="56"/>
    </row>
    <row r="140" spans="1:15" s="7" customFormat="1" x14ac:dyDescent="0.25">
      <c r="A140" s="22"/>
      <c r="B140" s="4"/>
      <c r="D140" s="53"/>
      <c r="E140" s="53"/>
      <c r="F140" s="56"/>
      <c r="G140" s="8"/>
      <c r="H140" s="53"/>
      <c r="I140" s="58"/>
      <c r="J140" s="58"/>
      <c r="K140" s="4"/>
      <c r="N140" s="56"/>
      <c r="O140" s="56"/>
    </row>
    <row r="141" spans="1:15" s="7" customFormat="1" x14ac:dyDescent="0.25">
      <c r="A141" s="22"/>
      <c r="B141" s="4"/>
      <c r="D141" s="53"/>
      <c r="E141" s="53"/>
      <c r="F141" s="56"/>
      <c r="G141" s="8"/>
      <c r="H141" s="53"/>
      <c r="I141" s="58"/>
      <c r="J141" s="58"/>
      <c r="K141" s="4"/>
      <c r="N141" s="56"/>
      <c r="O141" s="56"/>
    </row>
    <row r="142" spans="1:15" s="7" customFormat="1" x14ac:dyDescent="0.25">
      <c r="A142" s="22"/>
      <c r="B142" s="4"/>
      <c r="D142" s="53"/>
      <c r="E142" s="53"/>
      <c r="F142" s="56"/>
      <c r="G142" s="8"/>
      <c r="H142" s="53"/>
      <c r="I142" s="58"/>
      <c r="J142" s="58"/>
      <c r="K142" s="4"/>
      <c r="N142" s="56"/>
      <c r="O142" s="56"/>
    </row>
    <row r="143" spans="1:15" s="7" customFormat="1" x14ac:dyDescent="0.25">
      <c r="A143" s="22"/>
      <c r="B143" s="4"/>
      <c r="D143" s="53"/>
      <c r="E143" s="53"/>
      <c r="F143" s="56"/>
      <c r="G143" s="8"/>
      <c r="H143" s="53"/>
      <c r="I143" s="58"/>
      <c r="J143" s="58"/>
      <c r="K143" s="4"/>
      <c r="N143" s="56"/>
      <c r="O143" s="56"/>
    </row>
    <row r="144" spans="1:15" s="7" customFormat="1" x14ac:dyDescent="0.25">
      <c r="A144" s="22"/>
      <c r="B144" s="4"/>
      <c r="D144" s="53"/>
      <c r="E144" s="53"/>
      <c r="F144" s="56"/>
      <c r="G144" s="8"/>
      <c r="H144" s="53"/>
      <c r="I144" s="58"/>
      <c r="J144" s="58"/>
      <c r="K144" s="4"/>
      <c r="N144" s="56"/>
      <c r="O144" s="56"/>
    </row>
    <row r="145" spans="1:15" s="7" customFormat="1" x14ac:dyDescent="0.25">
      <c r="A145" s="22"/>
      <c r="B145" s="4"/>
      <c r="D145" s="53"/>
      <c r="E145" s="53"/>
      <c r="F145" s="56"/>
      <c r="G145" s="8"/>
      <c r="H145" s="53"/>
      <c r="I145" s="58"/>
      <c r="J145" s="58"/>
      <c r="K145" s="4"/>
      <c r="N145" s="56"/>
      <c r="O145" s="56"/>
    </row>
    <row r="146" spans="1:15" s="7" customFormat="1" x14ac:dyDescent="0.25">
      <c r="A146" s="22"/>
      <c r="B146" s="4"/>
      <c r="D146" s="53"/>
      <c r="E146" s="53"/>
      <c r="F146" s="56"/>
      <c r="G146" s="8"/>
      <c r="H146" s="53"/>
      <c r="I146" s="58"/>
      <c r="J146" s="58"/>
      <c r="K146" s="4"/>
      <c r="N146" s="56"/>
      <c r="O146" s="56"/>
    </row>
    <row r="147" spans="1:15" s="7" customFormat="1" x14ac:dyDescent="0.25">
      <c r="A147" s="22"/>
      <c r="B147" s="4"/>
      <c r="D147" s="53"/>
      <c r="E147" s="53"/>
      <c r="F147" s="56"/>
      <c r="G147" s="8"/>
      <c r="H147" s="53"/>
      <c r="I147" s="58"/>
      <c r="J147" s="58"/>
      <c r="K147" s="4"/>
      <c r="N147" s="56"/>
      <c r="O147" s="56"/>
    </row>
    <row r="148" spans="1:15" s="7" customFormat="1" x14ac:dyDescent="0.25">
      <c r="A148" s="22"/>
      <c r="B148" s="4"/>
      <c r="D148" s="53"/>
      <c r="E148" s="53"/>
      <c r="F148" s="56"/>
      <c r="G148" s="8"/>
      <c r="H148" s="53"/>
      <c r="I148" s="58"/>
      <c r="J148" s="58"/>
      <c r="K148" s="4"/>
      <c r="N148" s="56"/>
      <c r="O148" s="56"/>
    </row>
    <row r="149" spans="1:15" s="7" customFormat="1" x14ac:dyDescent="0.25">
      <c r="A149" s="22"/>
      <c r="B149" s="4"/>
      <c r="D149" s="53"/>
      <c r="E149" s="53"/>
      <c r="F149" s="56"/>
      <c r="G149" s="8"/>
      <c r="H149" s="53"/>
      <c r="I149" s="58"/>
      <c r="J149" s="58"/>
      <c r="K149" s="4"/>
      <c r="N149" s="56"/>
      <c r="O149" s="56"/>
    </row>
    <row r="150" spans="1:15" s="7" customFormat="1" x14ac:dyDescent="0.25">
      <c r="A150" s="22"/>
      <c r="B150" s="4"/>
      <c r="D150" s="53"/>
      <c r="E150" s="53"/>
      <c r="F150" s="56"/>
      <c r="G150" s="8"/>
      <c r="H150" s="53"/>
      <c r="I150" s="58"/>
      <c r="J150" s="58"/>
      <c r="K150" s="4"/>
      <c r="N150" s="56"/>
      <c r="O150" s="56"/>
    </row>
    <row r="151" spans="1:15" s="7" customFormat="1" x14ac:dyDescent="0.25">
      <c r="A151" s="22"/>
      <c r="B151" s="4"/>
      <c r="D151" s="53"/>
      <c r="E151" s="53"/>
      <c r="F151" s="56"/>
      <c r="G151" s="8"/>
      <c r="H151" s="53"/>
      <c r="I151" s="58"/>
      <c r="J151" s="58"/>
      <c r="K151" s="4"/>
      <c r="N151" s="56"/>
      <c r="O151" s="56"/>
    </row>
    <row r="152" spans="1:15" s="7" customFormat="1" x14ac:dyDescent="0.25">
      <c r="A152" s="22"/>
      <c r="B152" s="4"/>
      <c r="D152" s="53"/>
      <c r="E152" s="53"/>
      <c r="F152" s="56"/>
      <c r="G152" s="8"/>
      <c r="H152" s="53"/>
      <c r="I152" s="58"/>
      <c r="J152" s="58"/>
      <c r="K152" s="4"/>
      <c r="N152" s="56"/>
      <c r="O152" s="56"/>
    </row>
    <row r="153" spans="1:15" s="7" customFormat="1" x14ac:dyDescent="0.25">
      <c r="A153" s="22"/>
      <c r="B153" s="4"/>
      <c r="D153" s="53"/>
      <c r="E153" s="53"/>
      <c r="F153" s="56"/>
      <c r="G153" s="8"/>
      <c r="H153" s="53"/>
      <c r="I153" s="58"/>
      <c r="J153" s="58"/>
      <c r="K153" s="4"/>
      <c r="N153" s="56"/>
      <c r="O153" s="56"/>
    </row>
    <row r="154" spans="1:15" s="7" customFormat="1" x14ac:dyDescent="0.25">
      <c r="A154" s="22"/>
      <c r="B154" s="4"/>
      <c r="D154" s="53"/>
      <c r="E154" s="53"/>
      <c r="F154" s="56"/>
      <c r="G154" s="8"/>
      <c r="H154" s="53"/>
      <c r="I154" s="58"/>
      <c r="J154" s="58"/>
      <c r="K154" s="4"/>
      <c r="N154" s="56"/>
      <c r="O154" s="56"/>
    </row>
    <row r="155" spans="1:15" s="7" customFormat="1" x14ac:dyDescent="0.25">
      <c r="A155" s="22"/>
      <c r="B155" s="4"/>
      <c r="D155" s="53"/>
      <c r="E155" s="53"/>
      <c r="F155" s="56"/>
      <c r="G155" s="8"/>
      <c r="H155" s="53"/>
      <c r="I155" s="58"/>
      <c r="J155" s="58"/>
      <c r="K155" s="4"/>
      <c r="N155" s="56"/>
      <c r="O155" s="56"/>
    </row>
    <row r="156" spans="1:15" s="7" customFormat="1" x14ac:dyDescent="0.25">
      <c r="A156" s="22"/>
      <c r="B156" s="4"/>
      <c r="D156" s="53"/>
      <c r="E156" s="53"/>
      <c r="F156" s="56"/>
      <c r="G156" s="8"/>
      <c r="H156" s="53"/>
      <c r="I156" s="58"/>
      <c r="J156" s="58"/>
      <c r="K156" s="4"/>
      <c r="N156" s="56"/>
      <c r="O156" s="56"/>
    </row>
    <row r="157" spans="1:15" s="7" customFormat="1" x14ac:dyDescent="0.25">
      <c r="A157" s="22"/>
      <c r="B157" s="4"/>
      <c r="D157" s="53"/>
      <c r="E157" s="53"/>
      <c r="F157" s="56"/>
      <c r="G157" s="8"/>
      <c r="H157" s="53"/>
      <c r="I157" s="58"/>
      <c r="J157" s="58"/>
      <c r="K157" s="4"/>
      <c r="N157" s="56"/>
      <c r="O157" s="56"/>
    </row>
    <row r="158" spans="1:15" s="7" customFormat="1" x14ac:dyDescent="0.25">
      <c r="A158" s="22"/>
      <c r="B158" s="4"/>
      <c r="D158" s="53"/>
      <c r="E158" s="53"/>
      <c r="F158" s="56"/>
      <c r="G158" s="8"/>
      <c r="H158" s="53"/>
      <c r="I158" s="58"/>
      <c r="J158" s="58"/>
      <c r="K158" s="4"/>
      <c r="N158" s="56"/>
      <c r="O158" s="56"/>
    </row>
    <row r="159" spans="1:15" s="7" customFormat="1" x14ac:dyDescent="0.25">
      <c r="A159" s="22"/>
      <c r="B159" s="4"/>
      <c r="D159" s="53"/>
      <c r="E159" s="53"/>
      <c r="F159" s="56"/>
      <c r="G159" s="8"/>
      <c r="H159" s="53"/>
      <c r="I159" s="58"/>
      <c r="J159" s="58"/>
      <c r="K159" s="4"/>
      <c r="N159" s="56"/>
      <c r="O159" s="56"/>
    </row>
    <row r="160" spans="1:15" s="7" customFormat="1" x14ac:dyDescent="0.25">
      <c r="A160" s="22"/>
      <c r="B160" s="4"/>
      <c r="D160" s="53"/>
      <c r="E160" s="53"/>
      <c r="F160" s="56"/>
      <c r="G160" s="8"/>
      <c r="H160" s="53"/>
      <c r="I160" s="58"/>
      <c r="J160" s="58"/>
      <c r="K160" s="4"/>
      <c r="N160" s="56"/>
      <c r="O160" s="56"/>
    </row>
    <row r="161" spans="1:15" s="7" customFormat="1" x14ac:dyDescent="0.25">
      <c r="A161" s="22"/>
      <c r="B161" s="4"/>
      <c r="D161" s="53"/>
      <c r="E161" s="53"/>
      <c r="F161" s="56"/>
      <c r="G161" s="8"/>
      <c r="H161" s="53"/>
      <c r="I161" s="58"/>
      <c r="J161" s="58"/>
      <c r="K161" s="4"/>
      <c r="N161" s="56"/>
      <c r="O161" s="56"/>
    </row>
    <row r="162" spans="1:15" s="7" customFormat="1" x14ac:dyDescent="0.25">
      <c r="A162" s="22"/>
      <c r="B162" s="4"/>
      <c r="D162" s="53"/>
      <c r="E162" s="53"/>
      <c r="F162" s="56"/>
      <c r="G162" s="8"/>
      <c r="H162" s="53"/>
      <c r="I162" s="58"/>
      <c r="J162" s="58"/>
      <c r="K162" s="4"/>
      <c r="N162" s="56"/>
      <c r="O162" s="56"/>
    </row>
    <row r="163" spans="1:15" s="7" customFormat="1" x14ac:dyDescent="0.25">
      <c r="A163" s="22"/>
      <c r="B163" s="4"/>
      <c r="D163" s="53"/>
      <c r="E163" s="53"/>
      <c r="F163" s="56"/>
      <c r="G163" s="8"/>
      <c r="H163" s="53"/>
      <c r="I163" s="58"/>
      <c r="J163" s="58"/>
      <c r="K163" s="4"/>
      <c r="N163" s="56"/>
      <c r="O163" s="56"/>
    </row>
    <row r="164" spans="1:15" s="7" customFormat="1" x14ac:dyDescent="0.25">
      <c r="A164" s="22"/>
      <c r="B164" s="4"/>
      <c r="D164" s="53"/>
      <c r="E164" s="53"/>
      <c r="F164" s="56"/>
      <c r="G164" s="8"/>
      <c r="H164" s="53"/>
      <c r="I164" s="58"/>
      <c r="J164" s="58"/>
      <c r="K164" s="4"/>
      <c r="N164" s="56"/>
      <c r="O164" s="56"/>
    </row>
    <row r="165" spans="1:15" s="7" customFormat="1" x14ac:dyDescent="0.25">
      <c r="A165" s="22"/>
      <c r="B165" s="4"/>
      <c r="D165" s="53"/>
      <c r="E165" s="53"/>
      <c r="F165" s="56"/>
      <c r="G165" s="8"/>
      <c r="H165" s="53"/>
      <c r="I165" s="58"/>
      <c r="J165" s="58"/>
      <c r="K165" s="4"/>
      <c r="N165" s="56"/>
      <c r="O165" s="56"/>
    </row>
    <row r="166" spans="1:15" s="7" customFormat="1" x14ac:dyDescent="0.25">
      <c r="A166" s="22"/>
      <c r="B166" s="4"/>
      <c r="D166" s="53"/>
      <c r="E166" s="53"/>
      <c r="F166" s="56"/>
      <c r="G166" s="8"/>
      <c r="H166" s="53"/>
      <c r="I166" s="58"/>
      <c r="J166" s="58"/>
      <c r="K166" s="4"/>
      <c r="N166" s="56"/>
      <c r="O166" s="56"/>
    </row>
    <row r="167" spans="1:15" s="7" customFormat="1" x14ac:dyDescent="0.25">
      <c r="A167" s="22"/>
      <c r="B167" s="4"/>
      <c r="D167" s="53"/>
      <c r="E167" s="53"/>
      <c r="F167" s="56"/>
      <c r="G167" s="8"/>
      <c r="H167" s="53"/>
      <c r="I167" s="58"/>
      <c r="J167" s="58"/>
      <c r="K167" s="4"/>
      <c r="N167" s="56"/>
      <c r="O167" s="56"/>
    </row>
    <row r="168" spans="1:15" s="7" customFormat="1" x14ac:dyDescent="0.25">
      <c r="A168" s="22"/>
      <c r="B168" s="4"/>
      <c r="D168" s="53"/>
      <c r="E168" s="53"/>
      <c r="F168" s="56"/>
      <c r="G168" s="8"/>
      <c r="H168" s="53"/>
      <c r="I168" s="58"/>
      <c r="J168" s="58"/>
      <c r="K168" s="4"/>
      <c r="N168" s="56"/>
      <c r="O168" s="56"/>
    </row>
    <row r="169" spans="1:15" s="7" customFormat="1" x14ac:dyDescent="0.25">
      <c r="A169" s="22"/>
      <c r="B169" s="4"/>
      <c r="D169" s="53"/>
      <c r="E169" s="53"/>
      <c r="F169" s="56"/>
      <c r="G169" s="8"/>
      <c r="H169" s="53"/>
      <c r="I169" s="58"/>
      <c r="J169" s="58"/>
      <c r="K169" s="4"/>
      <c r="N169" s="56"/>
      <c r="O169" s="56"/>
    </row>
    <row r="170" spans="1:15" s="7" customFormat="1" x14ac:dyDescent="0.25">
      <c r="A170" s="22"/>
      <c r="B170" s="4"/>
      <c r="D170" s="53"/>
      <c r="E170" s="53"/>
      <c r="F170" s="56"/>
      <c r="G170" s="8"/>
      <c r="H170" s="53"/>
      <c r="I170" s="58"/>
      <c r="J170" s="58"/>
      <c r="K170" s="4"/>
      <c r="N170" s="56"/>
      <c r="O170" s="56"/>
    </row>
    <row r="171" spans="1:15" s="7" customFormat="1" x14ac:dyDescent="0.25">
      <c r="A171" s="22"/>
      <c r="B171" s="4"/>
      <c r="D171" s="53"/>
      <c r="E171" s="53"/>
      <c r="F171" s="56"/>
      <c r="G171" s="8"/>
      <c r="H171" s="53"/>
      <c r="I171" s="58"/>
      <c r="J171" s="58"/>
      <c r="K171" s="4"/>
      <c r="N171" s="56"/>
      <c r="O171" s="56"/>
    </row>
    <row r="172" spans="1:15" s="7" customFormat="1" x14ac:dyDescent="0.25">
      <c r="A172" s="22"/>
      <c r="B172" s="4"/>
      <c r="D172" s="53"/>
      <c r="E172" s="53"/>
      <c r="F172" s="56"/>
      <c r="G172" s="8"/>
      <c r="H172" s="53"/>
      <c r="I172" s="58"/>
      <c r="J172" s="58"/>
      <c r="K172" s="4"/>
      <c r="N172" s="56"/>
      <c r="O172" s="56"/>
    </row>
    <row r="173" spans="1:15" s="7" customFormat="1" x14ac:dyDescent="0.25">
      <c r="A173" s="22"/>
      <c r="B173" s="4"/>
      <c r="D173" s="53"/>
      <c r="E173" s="53"/>
      <c r="F173" s="56"/>
      <c r="G173" s="8"/>
      <c r="H173" s="53"/>
      <c r="I173" s="58"/>
      <c r="J173" s="58"/>
      <c r="K173" s="4"/>
      <c r="N173" s="56"/>
      <c r="O173" s="56"/>
    </row>
  </sheetData>
  <pageMargins left="0.23622047244094491" right="0.23622047244094491" top="0.74803149606299213" bottom="1.2598425196850394" header="0.31496062992125984" footer="0.31496062992125984"/>
  <pageSetup orientation="landscape" r:id="rId1"/>
  <headerFooter>
    <oddHeader>&amp;C&amp;"Calibri,Bold"GRADE SHEET - CSE115.7
Fall 2020. SEC - 7
&amp;RFaculty Initial: SZZ</oddHeader>
    <oddFooter>&amp;L&amp;G
_____________________________
Md. Shazzad Hosain, PhD
Professor, ECE Department&amp;CScalled Score = 10 x sqrt (Total Score)&amp;RPage &amp;P of &amp;N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0"/>
  <sheetViews>
    <sheetView topLeftCell="A24" workbookViewId="0">
      <selection activeCell="E37" sqref="E37"/>
    </sheetView>
  </sheetViews>
  <sheetFormatPr defaultRowHeight="15" x14ac:dyDescent="0.25"/>
  <cols>
    <col min="1" max="1" width="3.85546875" style="2" bestFit="1" customWidth="1"/>
    <col min="2" max="2" width="11.85546875" style="2" bestFit="1" customWidth="1"/>
    <col min="3" max="3" width="25.5703125" style="1" customWidth="1"/>
    <col min="4" max="15" width="9.140625" customWidth="1"/>
  </cols>
  <sheetData>
    <row r="1" spans="1:14" s="17" customFormat="1" x14ac:dyDescent="0.25">
      <c r="A1" s="11"/>
      <c r="B1" s="14" t="s">
        <v>0</v>
      </c>
      <c r="C1" s="15" t="s">
        <v>1</v>
      </c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x14ac:dyDescent="0.25">
      <c r="A2" s="1" t="s">
        <v>5</v>
      </c>
      <c r="B2" s="50" t="s">
        <v>123</v>
      </c>
      <c r="C2" s="50" t="s">
        <v>124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 t="s">
        <v>6</v>
      </c>
      <c r="B3" s="50" t="s">
        <v>125</v>
      </c>
      <c r="C3" s="50" t="s">
        <v>126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 t="s">
        <v>7</v>
      </c>
      <c r="B4" s="50" t="s">
        <v>127</v>
      </c>
      <c r="C4" s="50" t="s">
        <v>128</v>
      </c>
      <c r="D4" s="1">
        <v>5</v>
      </c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 t="s">
        <v>8</v>
      </c>
      <c r="B5" s="50" t="s">
        <v>129</v>
      </c>
      <c r="C5" s="50" t="s">
        <v>130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 t="s">
        <v>9</v>
      </c>
      <c r="B6" s="50" t="s">
        <v>131</v>
      </c>
      <c r="C6" s="50" t="s">
        <v>132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 t="s">
        <v>10</v>
      </c>
      <c r="B7" s="50" t="s">
        <v>133</v>
      </c>
      <c r="C7" s="50" t="s">
        <v>134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 t="s">
        <v>11</v>
      </c>
      <c r="B8" s="50" t="s">
        <v>135</v>
      </c>
      <c r="C8" s="50" t="s">
        <v>136</v>
      </c>
      <c r="D8" s="1"/>
      <c r="E8" s="1"/>
      <c r="F8" s="1">
        <v>7</v>
      </c>
      <c r="G8" s="1"/>
      <c r="H8" s="1"/>
      <c r="I8" s="1"/>
      <c r="J8" s="1"/>
      <c r="K8" s="1"/>
      <c r="L8" s="1"/>
      <c r="M8" s="1"/>
      <c r="N8" s="1"/>
    </row>
    <row r="9" spans="1:14" x14ac:dyDescent="0.25">
      <c r="A9" s="1" t="s">
        <v>12</v>
      </c>
      <c r="B9" s="50" t="s">
        <v>137</v>
      </c>
      <c r="C9" s="50" t="s">
        <v>138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 t="s">
        <v>13</v>
      </c>
      <c r="B10" s="50" t="s">
        <v>139</v>
      </c>
      <c r="C10" s="50" t="s">
        <v>140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 t="s">
        <v>14</v>
      </c>
      <c r="B11" s="50" t="s">
        <v>141</v>
      </c>
      <c r="C11" s="50" t="s">
        <v>142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 t="s">
        <v>15</v>
      </c>
      <c r="B12" s="50" t="s">
        <v>143</v>
      </c>
      <c r="C12" s="50" t="s">
        <v>144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 t="s">
        <v>16</v>
      </c>
      <c r="B13" s="50" t="s">
        <v>145</v>
      </c>
      <c r="C13" s="50" t="s">
        <v>146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 t="s">
        <v>17</v>
      </c>
      <c r="B14" s="50" t="s">
        <v>147</v>
      </c>
      <c r="C14" s="50" t="s">
        <v>148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 t="s">
        <v>18</v>
      </c>
      <c r="B15" s="50" t="s">
        <v>149</v>
      </c>
      <c r="C15" s="50" t="s">
        <v>150</v>
      </c>
      <c r="D15" s="1"/>
      <c r="E15" s="1"/>
      <c r="F15" s="1">
        <v>-5</v>
      </c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 t="s">
        <v>19</v>
      </c>
      <c r="B16" s="50" t="s">
        <v>151</v>
      </c>
      <c r="C16" s="50" t="s">
        <v>152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 t="s">
        <v>20</v>
      </c>
      <c r="B17" s="50" t="s">
        <v>153</v>
      </c>
      <c r="C17" s="50" t="s">
        <v>154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 t="s">
        <v>21</v>
      </c>
      <c r="B18" s="50" t="s">
        <v>155</v>
      </c>
      <c r="C18" s="50" t="s">
        <v>156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 t="s">
        <v>22</v>
      </c>
      <c r="B19" s="50" t="s">
        <v>157</v>
      </c>
      <c r="C19" s="50" t="s">
        <v>158</v>
      </c>
      <c r="D19" s="1"/>
      <c r="E19" s="1">
        <v>5</v>
      </c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 t="s">
        <v>23</v>
      </c>
      <c r="B20" s="50" t="s">
        <v>159</v>
      </c>
      <c r="C20" s="50" t="s">
        <v>160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 t="s">
        <v>24</v>
      </c>
      <c r="B21" s="50" t="s">
        <v>161</v>
      </c>
      <c r="C21" s="50" t="s">
        <v>162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 t="s">
        <v>25</v>
      </c>
      <c r="B22" s="50" t="s">
        <v>163</v>
      </c>
      <c r="C22" s="50" t="s">
        <v>164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 t="s">
        <v>27</v>
      </c>
      <c r="B23" s="50" t="s">
        <v>165</v>
      </c>
      <c r="C23" s="50" t="s">
        <v>166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 t="s">
        <v>28</v>
      </c>
      <c r="B24" s="50" t="s">
        <v>167</v>
      </c>
      <c r="C24" s="50" t="s">
        <v>168</v>
      </c>
      <c r="D24" s="1">
        <v>5</v>
      </c>
      <c r="E24" s="1">
        <v>8</v>
      </c>
      <c r="F24" s="1">
        <v>8</v>
      </c>
      <c r="G24" s="1">
        <v>7</v>
      </c>
      <c r="H24" s="1"/>
      <c r="I24" s="1"/>
      <c r="J24" s="1"/>
      <c r="K24" s="1"/>
      <c r="L24" s="1"/>
      <c r="M24" s="1"/>
      <c r="N24" s="1"/>
    </row>
    <row r="25" spans="1:14" x14ac:dyDescent="0.25">
      <c r="A25" s="1" t="s">
        <v>29</v>
      </c>
      <c r="B25" s="50" t="s">
        <v>169</v>
      </c>
      <c r="C25" s="50" t="s">
        <v>170</v>
      </c>
      <c r="D25" s="1"/>
      <c r="E25" s="1">
        <v>7</v>
      </c>
      <c r="F25" s="1"/>
      <c r="G25" s="1">
        <v>6</v>
      </c>
      <c r="H25" s="1"/>
      <c r="I25" s="1"/>
      <c r="J25" s="1"/>
      <c r="K25" s="1"/>
      <c r="L25" s="1"/>
      <c r="M25" s="1"/>
      <c r="N25" s="1"/>
    </row>
    <row r="26" spans="1:14" x14ac:dyDescent="0.25">
      <c r="A26" s="1" t="s">
        <v>30</v>
      </c>
      <c r="B26" s="50" t="s">
        <v>171</v>
      </c>
      <c r="C26" s="50" t="s">
        <v>172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 t="s">
        <v>31</v>
      </c>
      <c r="B27" s="50" t="s">
        <v>173</v>
      </c>
      <c r="C27" s="50" t="s">
        <v>174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 t="s">
        <v>55</v>
      </c>
      <c r="B28" s="50" t="s">
        <v>175</v>
      </c>
      <c r="C28" s="50" t="s">
        <v>176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 t="s">
        <v>56</v>
      </c>
      <c r="B29" s="50" t="s">
        <v>177</v>
      </c>
      <c r="C29" s="50" t="s">
        <v>178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 t="s">
        <v>57</v>
      </c>
      <c r="B30" s="50" t="s">
        <v>179</v>
      </c>
      <c r="C30" s="50" t="s">
        <v>180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 t="s">
        <v>58</v>
      </c>
      <c r="B31" s="50" t="s">
        <v>181</v>
      </c>
      <c r="C31" s="50" t="s">
        <v>182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 t="s">
        <v>59</v>
      </c>
      <c r="B32" s="50" t="s">
        <v>183</v>
      </c>
      <c r="C32" s="50" t="s">
        <v>184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 t="s">
        <v>60</v>
      </c>
      <c r="B33" s="50" t="s">
        <v>185</v>
      </c>
      <c r="C33" s="50" t="s">
        <v>186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 t="s">
        <v>61</v>
      </c>
      <c r="B34" s="50" t="s">
        <v>187</v>
      </c>
      <c r="C34" s="50" t="s">
        <v>188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 t="s">
        <v>62</v>
      </c>
      <c r="B35" s="50" t="s">
        <v>189</v>
      </c>
      <c r="C35" s="50" t="s">
        <v>190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 t="s">
        <v>118</v>
      </c>
      <c r="B36" s="50" t="s">
        <v>191</v>
      </c>
      <c r="C36" s="50" t="s">
        <v>192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 t="s">
        <v>119</v>
      </c>
      <c r="B37" s="50" t="s">
        <v>193</v>
      </c>
      <c r="C37" s="50" t="s">
        <v>194</v>
      </c>
      <c r="D37" s="1">
        <v>6</v>
      </c>
      <c r="E37" s="1">
        <v>5</v>
      </c>
      <c r="F37" s="1">
        <v>8</v>
      </c>
      <c r="G37" s="1">
        <v>7</v>
      </c>
      <c r="H37" s="1"/>
      <c r="I37" s="1"/>
      <c r="J37" s="1"/>
      <c r="K37" s="1"/>
      <c r="L37" s="1"/>
      <c r="M37" s="1"/>
      <c r="N37" s="1"/>
    </row>
    <row r="38" spans="1:14" x14ac:dyDescent="0.25">
      <c r="A38" s="1" t="s">
        <v>120</v>
      </c>
      <c r="B38" s="50" t="s">
        <v>195</v>
      </c>
      <c r="C38" s="50" t="s">
        <v>196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 t="s">
        <v>121</v>
      </c>
      <c r="B39" s="50" t="s">
        <v>197</v>
      </c>
      <c r="C39" s="50" t="s">
        <v>198</v>
      </c>
      <c r="D39" s="1"/>
      <c r="E39" s="1"/>
      <c r="F39" s="1">
        <v>5</v>
      </c>
      <c r="G39" s="1">
        <v>5</v>
      </c>
      <c r="H39" s="1"/>
      <c r="I39" s="1"/>
      <c r="J39" s="1"/>
      <c r="K39" s="1"/>
      <c r="L39" s="1"/>
      <c r="M39" s="1"/>
      <c r="N39" s="1"/>
    </row>
    <row r="40" spans="1:14" x14ac:dyDescent="0.25">
      <c r="A40" s="1" t="s">
        <v>122</v>
      </c>
      <c r="B40" s="50" t="s">
        <v>199</v>
      </c>
      <c r="C40" s="50" t="s">
        <v>200</v>
      </c>
      <c r="D40" s="1"/>
      <c r="E40" s="1"/>
      <c r="F40" s="1">
        <v>8</v>
      </c>
      <c r="G40" s="1"/>
      <c r="H40" s="1"/>
      <c r="I40" s="1"/>
      <c r="J40" s="1"/>
      <c r="K40" s="1"/>
      <c r="L40" s="1"/>
      <c r="M40" s="1"/>
      <c r="N40" s="1"/>
    </row>
  </sheetData>
  <pageMargins left="0.25" right="0.25" top="0.75" bottom="0.75" header="0.3" footer="0.3"/>
  <pageSetup paperSize="9" orientation="landscape" r:id="rId1"/>
  <headerFooter>
    <oddHeader>&amp;LAttendance Sheet&amp;CNorth South University
CSE 327&amp;RSummer 2016</oddHeader>
    <oddFooter>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62"/>
  <sheetViews>
    <sheetView topLeftCell="G31" workbookViewId="0">
      <selection activeCell="K2" sqref="K2:N36"/>
    </sheetView>
  </sheetViews>
  <sheetFormatPr defaultRowHeight="15" x14ac:dyDescent="0.25"/>
  <cols>
    <col min="4" max="4" width="13.7109375" bestFit="1" customWidth="1"/>
    <col min="9" max="9" width="13.7109375" bestFit="1" customWidth="1"/>
    <col min="12" max="12" width="9.140625" style="35"/>
    <col min="14" max="14" width="13.7109375" bestFit="1" customWidth="1"/>
    <col min="16" max="16" width="16.7109375" bestFit="1" customWidth="1"/>
    <col min="18" max="18" width="16.7109375" bestFit="1" customWidth="1"/>
    <col min="20" max="20" width="16.7109375" bestFit="1" customWidth="1"/>
  </cols>
  <sheetData>
    <row r="1" spans="1:24" x14ac:dyDescent="0.25">
      <c r="A1" s="1"/>
      <c r="B1" s="1" t="s">
        <v>63</v>
      </c>
      <c r="C1" s="1"/>
      <c r="D1" s="1" t="s">
        <v>38</v>
      </c>
      <c r="E1" s="1"/>
      <c r="F1" s="1"/>
      <c r="G1" s="1" t="s">
        <v>64</v>
      </c>
      <c r="H1" s="1"/>
      <c r="I1" s="1" t="s">
        <v>65</v>
      </c>
      <c r="J1" s="1"/>
      <c r="K1" s="1"/>
      <c r="L1" s="2" t="s">
        <v>66</v>
      </c>
      <c r="M1" s="1"/>
      <c r="N1" s="1" t="s">
        <v>67</v>
      </c>
    </row>
    <row r="2" spans="1:24" ht="45" x14ac:dyDescent="0.25">
      <c r="A2" s="30" t="s">
        <v>68</v>
      </c>
      <c r="B2" s="31" t="s">
        <v>69</v>
      </c>
      <c r="C2" s="31" t="s">
        <v>70</v>
      </c>
      <c r="D2" s="30" t="s">
        <v>71</v>
      </c>
      <c r="E2" s="30"/>
      <c r="F2" s="30" t="s">
        <v>68</v>
      </c>
      <c r="G2" s="31" t="s">
        <v>72</v>
      </c>
      <c r="H2" s="31" t="s">
        <v>70</v>
      </c>
      <c r="I2" s="30" t="s">
        <v>71</v>
      </c>
      <c r="J2" s="30"/>
      <c r="K2" s="30" t="s">
        <v>68</v>
      </c>
      <c r="L2" s="36" t="s">
        <v>69</v>
      </c>
      <c r="M2" s="31" t="s">
        <v>70</v>
      </c>
      <c r="N2" s="30" t="s">
        <v>71</v>
      </c>
      <c r="O2" s="32"/>
      <c r="P2" s="32" t="s">
        <v>38</v>
      </c>
      <c r="Q2" s="32"/>
      <c r="R2" s="32" t="s">
        <v>65</v>
      </c>
      <c r="S2" s="32"/>
      <c r="T2" s="32" t="s">
        <v>67</v>
      </c>
      <c r="U2" s="32"/>
      <c r="V2" s="32"/>
      <c r="W2" s="32"/>
      <c r="X2" s="32"/>
    </row>
    <row r="3" spans="1:24" x14ac:dyDescent="0.25">
      <c r="A3" s="2" t="s">
        <v>73</v>
      </c>
      <c r="B3" s="1">
        <v>10</v>
      </c>
      <c r="C3" s="33">
        <f>B3*100/15</f>
        <v>66.666666666666671</v>
      </c>
      <c r="D3" s="1" t="s">
        <v>78</v>
      </c>
      <c r="E3" s="1"/>
      <c r="F3" s="2" t="s">
        <v>73</v>
      </c>
      <c r="G3" s="33">
        <v>12</v>
      </c>
      <c r="H3" s="33">
        <f>G3*100/20</f>
        <v>60</v>
      </c>
      <c r="I3" s="1" t="s">
        <v>78</v>
      </c>
      <c r="J3" s="1"/>
      <c r="K3" s="2" t="s">
        <v>73</v>
      </c>
      <c r="L3" s="2">
        <v>9</v>
      </c>
      <c r="M3" s="33">
        <f>L3*100/15</f>
        <v>60</v>
      </c>
      <c r="N3" s="1" t="s">
        <v>78</v>
      </c>
      <c r="P3" t="s">
        <v>76</v>
      </c>
      <c r="Q3">
        <v>1</v>
      </c>
      <c r="R3" t="s">
        <v>76</v>
      </c>
      <c r="S3">
        <v>6</v>
      </c>
      <c r="T3" t="s">
        <v>76</v>
      </c>
      <c r="U3">
        <v>6</v>
      </c>
    </row>
    <row r="4" spans="1:24" x14ac:dyDescent="0.25">
      <c r="A4" s="2" t="s">
        <v>77</v>
      </c>
      <c r="B4" s="1">
        <v>8</v>
      </c>
      <c r="C4" s="33">
        <f t="shared" ref="C4:C33" si="0">B4*100/15</f>
        <v>53.333333333333336</v>
      </c>
      <c r="D4" s="1" t="s">
        <v>78</v>
      </c>
      <c r="E4" s="1"/>
      <c r="F4" s="2" t="s">
        <v>77</v>
      </c>
      <c r="G4" s="33">
        <v>12</v>
      </c>
      <c r="H4" s="33">
        <f t="shared" ref="H4:H38" si="1">G4*100/20</f>
        <v>60</v>
      </c>
      <c r="I4" s="1" t="s">
        <v>78</v>
      </c>
      <c r="J4" s="1"/>
      <c r="K4" s="2" t="s">
        <v>77</v>
      </c>
      <c r="L4" s="2">
        <v>9</v>
      </c>
      <c r="M4" s="33">
        <f t="shared" ref="M4:M36" si="2">L4*100/15</f>
        <v>60</v>
      </c>
      <c r="N4" s="1" t="s">
        <v>78</v>
      </c>
      <c r="P4" t="s">
        <v>79</v>
      </c>
      <c r="Q4">
        <v>5</v>
      </c>
      <c r="R4" t="s">
        <v>79</v>
      </c>
      <c r="S4">
        <v>7</v>
      </c>
      <c r="T4" t="s">
        <v>79</v>
      </c>
      <c r="U4">
        <v>2</v>
      </c>
    </row>
    <row r="5" spans="1:24" x14ac:dyDescent="0.25">
      <c r="A5" s="2" t="s">
        <v>80</v>
      </c>
      <c r="B5" s="18">
        <v>4</v>
      </c>
      <c r="C5" s="33">
        <f t="shared" si="0"/>
        <v>26.666666666666668</v>
      </c>
      <c r="D5" s="1" t="s">
        <v>75</v>
      </c>
      <c r="E5" s="1"/>
      <c r="F5" s="2" t="s">
        <v>80</v>
      </c>
      <c r="G5" s="33">
        <v>12.666666666666666</v>
      </c>
      <c r="H5" s="33">
        <f t="shared" si="1"/>
        <v>63.333333333333329</v>
      </c>
      <c r="I5" s="1" t="s">
        <v>78</v>
      </c>
      <c r="J5" s="1"/>
      <c r="K5" s="2" t="s">
        <v>80</v>
      </c>
      <c r="L5" s="26">
        <v>9</v>
      </c>
      <c r="M5" s="33">
        <f t="shared" si="2"/>
        <v>60</v>
      </c>
      <c r="N5" s="1" t="s">
        <v>78</v>
      </c>
      <c r="P5" t="s">
        <v>81</v>
      </c>
      <c r="Q5">
        <v>16</v>
      </c>
      <c r="R5" t="s">
        <v>81</v>
      </c>
      <c r="S5">
        <v>19</v>
      </c>
      <c r="T5" t="s">
        <v>81</v>
      </c>
      <c r="U5">
        <v>6</v>
      </c>
    </row>
    <row r="6" spans="1:24" x14ac:dyDescent="0.25">
      <c r="A6" s="2" t="s">
        <v>82</v>
      </c>
      <c r="B6" s="18">
        <v>9</v>
      </c>
      <c r="C6" s="33">
        <f t="shared" si="0"/>
        <v>60</v>
      </c>
      <c r="D6" s="1" t="s">
        <v>78</v>
      </c>
      <c r="E6" s="1"/>
      <c r="F6" s="2" t="s">
        <v>82</v>
      </c>
      <c r="G6" s="33">
        <v>10.666666666666666</v>
      </c>
      <c r="H6" s="33">
        <f t="shared" si="1"/>
        <v>53.333333333333329</v>
      </c>
      <c r="I6" s="1" t="s">
        <v>78</v>
      </c>
      <c r="J6" s="1"/>
      <c r="K6" s="2" t="s">
        <v>82</v>
      </c>
      <c r="L6" s="26">
        <v>12</v>
      </c>
      <c r="M6" s="33">
        <f t="shared" si="2"/>
        <v>80</v>
      </c>
      <c r="N6" s="1" t="s">
        <v>89</v>
      </c>
      <c r="P6" t="s">
        <v>83</v>
      </c>
      <c r="Q6">
        <v>10</v>
      </c>
      <c r="R6" t="s">
        <v>83</v>
      </c>
      <c r="S6">
        <v>4</v>
      </c>
      <c r="T6" t="s">
        <v>83</v>
      </c>
      <c r="U6">
        <v>20</v>
      </c>
    </row>
    <row r="7" spans="1:24" x14ac:dyDescent="0.25">
      <c r="A7" s="2" t="s">
        <v>84</v>
      </c>
      <c r="B7" s="1">
        <v>8</v>
      </c>
      <c r="C7" s="33">
        <f t="shared" si="0"/>
        <v>53.333333333333336</v>
      </c>
      <c r="D7" s="1" t="s">
        <v>78</v>
      </c>
      <c r="E7" s="1"/>
      <c r="F7" s="2" t="s">
        <v>84</v>
      </c>
      <c r="G7" s="33">
        <v>15.333333333333334</v>
      </c>
      <c r="H7" s="33">
        <f t="shared" si="1"/>
        <v>76.666666666666671</v>
      </c>
      <c r="I7" s="1" t="s">
        <v>74</v>
      </c>
      <c r="J7" s="1"/>
      <c r="K7" s="2" t="s">
        <v>84</v>
      </c>
      <c r="L7" s="2">
        <v>12</v>
      </c>
      <c r="M7" s="33">
        <f t="shared" si="2"/>
        <v>80</v>
      </c>
      <c r="N7" s="1" t="s">
        <v>89</v>
      </c>
    </row>
    <row r="8" spans="1:24" x14ac:dyDescent="0.25">
      <c r="A8" s="2" t="s">
        <v>85</v>
      </c>
      <c r="B8" s="1">
        <v>7</v>
      </c>
      <c r="C8" s="33">
        <f t="shared" si="0"/>
        <v>46.666666666666664</v>
      </c>
      <c r="D8" s="1" t="s">
        <v>75</v>
      </c>
      <c r="E8" s="1"/>
      <c r="F8" s="2" t="s">
        <v>85</v>
      </c>
      <c r="G8" s="33">
        <v>12</v>
      </c>
      <c r="H8" s="33">
        <f t="shared" si="1"/>
        <v>60</v>
      </c>
      <c r="I8" s="1" t="s">
        <v>78</v>
      </c>
      <c r="J8" s="1"/>
      <c r="K8" s="2" t="s">
        <v>85</v>
      </c>
      <c r="L8" s="2">
        <v>7</v>
      </c>
      <c r="M8" s="33">
        <f t="shared" si="2"/>
        <v>46.666666666666664</v>
      </c>
      <c r="N8" s="1" t="s">
        <v>75</v>
      </c>
    </row>
    <row r="9" spans="1:24" x14ac:dyDescent="0.25">
      <c r="A9" s="2" t="s">
        <v>86</v>
      </c>
      <c r="B9" s="1">
        <v>7</v>
      </c>
      <c r="C9" s="33">
        <f t="shared" si="0"/>
        <v>46.666666666666664</v>
      </c>
      <c r="D9" s="1" t="s">
        <v>75</v>
      </c>
      <c r="E9" s="1"/>
      <c r="F9" s="2" t="s">
        <v>86</v>
      </c>
      <c r="G9" s="33">
        <v>14</v>
      </c>
      <c r="H9" s="33">
        <f t="shared" si="1"/>
        <v>70</v>
      </c>
      <c r="I9" s="1" t="s">
        <v>74</v>
      </c>
      <c r="J9" s="1"/>
      <c r="K9" s="2" t="s">
        <v>86</v>
      </c>
      <c r="L9" s="2">
        <v>7</v>
      </c>
      <c r="M9" s="33">
        <f t="shared" si="2"/>
        <v>46.666666666666664</v>
      </c>
      <c r="N9" s="1" t="s">
        <v>75</v>
      </c>
    </row>
    <row r="10" spans="1:24" x14ac:dyDescent="0.25">
      <c r="A10" s="2" t="s">
        <v>87</v>
      </c>
      <c r="B10" s="1">
        <v>7</v>
      </c>
      <c r="C10" s="33">
        <f t="shared" si="0"/>
        <v>46.666666666666664</v>
      </c>
      <c r="D10" s="1" t="s">
        <v>75</v>
      </c>
      <c r="E10" s="1"/>
      <c r="F10" s="2" t="s">
        <v>87</v>
      </c>
      <c r="G10" s="33">
        <v>16</v>
      </c>
      <c r="H10" s="33">
        <f t="shared" si="1"/>
        <v>80</v>
      </c>
      <c r="I10" s="1" t="s">
        <v>89</v>
      </c>
      <c r="J10" s="1"/>
      <c r="K10" s="2" t="s">
        <v>87</v>
      </c>
      <c r="L10" s="2">
        <v>6</v>
      </c>
      <c r="M10" s="33">
        <f t="shared" si="2"/>
        <v>40</v>
      </c>
      <c r="N10" s="1" t="s">
        <v>75</v>
      </c>
    </row>
    <row r="11" spans="1:24" x14ac:dyDescent="0.25">
      <c r="A11" s="2" t="s">
        <v>88</v>
      </c>
      <c r="B11" s="1">
        <v>11</v>
      </c>
      <c r="C11" s="33">
        <f t="shared" si="0"/>
        <v>73.333333333333329</v>
      </c>
      <c r="D11" s="1" t="s">
        <v>74</v>
      </c>
      <c r="E11" s="1"/>
      <c r="F11" s="2" t="s">
        <v>88</v>
      </c>
      <c r="G11" s="33">
        <v>10</v>
      </c>
      <c r="H11" s="33">
        <f t="shared" si="1"/>
        <v>50</v>
      </c>
      <c r="I11" s="1" t="s">
        <v>78</v>
      </c>
      <c r="J11" s="1"/>
      <c r="K11" s="2" t="s">
        <v>88</v>
      </c>
      <c r="L11" s="2">
        <v>6</v>
      </c>
      <c r="M11" s="33">
        <f t="shared" si="2"/>
        <v>40</v>
      </c>
      <c r="N11" s="1" t="s">
        <v>75</v>
      </c>
    </row>
    <row r="12" spans="1:24" x14ac:dyDescent="0.25">
      <c r="A12" s="2" t="s">
        <v>90</v>
      </c>
      <c r="B12" s="1">
        <v>9</v>
      </c>
      <c r="C12" s="33">
        <f t="shared" si="0"/>
        <v>60</v>
      </c>
      <c r="D12" s="1" t="s">
        <v>78</v>
      </c>
      <c r="E12" s="1"/>
      <c r="F12" s="2" t="s">
        <v>90</v>
      </c>
      <c r="G12" s="33">
        <v>13.333333333333334</v>
      </c>
      <c r="H12" s="33">
        <f t="shared" si="1"/>
        <v>66.666666666666671</v>
      </c>
      <c r="I12" s="1" t="s">
        <v>78</v>
      </c>
      <c r="J12" s="1"/>
      <c r="K12" s="2" t="s">
        <v>90</v>
      </c>
      <c r="L12" s="26">
        <v>5</v>
      </c>
      <c r="M12" s="33">
        <f t="shared" si="2"/>
        <v>33.333333333333336</v>
      </c>
      <c r="N12" s="1" t="s">
        <v>75</v>
      </c>
    </row>
    <row r="13" spans="1:24" x14ac:dyDescent="0.25">
      <c r="A13" s="2" t="s">
        <v>91</v>
      </c>
      <c r="B13" s="29">
        <v>8</v>
      </c>
      <c r="C13" s="33">
        <f t="shared" si="0"/>
        <v>53.333333333333336</v>
      </c>
      <c r="D13" s="1" t="s">
        <v>78</v>
      </c>
      <c r="E13" s="1"/>
      <c r="F13" s="2" t="s">
        <v>91</v>
      </c>
      <c r="G13" s="33">
        <v>9.3333333333333339</v>
      </c>
      <c r="H13" s="33">
        <f t="shared" si="1"/>
        <v>46.666666666666671</v>
      </c>
      <c r="I13" s="1" t="s">
        <v>75</v>
      </c>
      <c r="J13" s="1"/>
      <c r="K13" s="2" t="s">
        <v>91</v>
      </c>
      <c r="L13" s="2">
        <v>2</v>
      </c>
      <c r="M13" s="33">
        <f t="shared" si="2"/>
        <v>13.333333333333334</v>
      </c>
      <c r="N13" s="1" t="s">
        <v>75</v>
      </c>
    </row>
    <row r="14" spans="1:24" x14ac:dyDescent="0.25">
      <c r="A14" s="2" t="s">
        <v>92</v>
      </c>
      <c r="B14" s="1">
        <v>11</v>
      </c>
      <c r="C14" s="33">
        <f t="shared" si="0"/>
        <v>73.333333333333329</v>
      </c>
      <c r="D14" s="1" t="s">
        <v>74</v>
      </c>
      <c r="E14" s="1"/>
      <c r="F14" s="2" t="s">
        <v>92</v>
      </c>
      <c r="G14" s="33">
        <v>11.333333333333334</v>
      </c>
      <c r="H14" s="33">
        <f t="shared" si="1"/>
        <v>56.666666666666671</v>
      </c>
      <c r="I14" s="1" t="s">
        <v>78</v>
      </c>
      <c r="J14" s="1"/>
      <c r="K14" s="2" t="s">
        <v>92</v>
      </c>
      <c r="L14" s="2">
        <v>5</v>
      </c>
      <c r="M14" s="33">
        <f t="shared" si="2"/>
        <v>33.333333333333336</v>
      </c>
      <c r="N14" s="1" t="s">
        <v>75</v>
      </c>
    </row>
    <row r="15" spans="1:24" x14ac:dyDescent="0.25">
      <c r="A15" s="2" t="s">
        <v>93</v>
      </c>
      <c r="B15" s="1">
        <v>8</v>
      </c>
      <c r="C15" s="33">
        <f t="shared" si="0"/>
        <v>53.333333333333336</v>
      </c>
      <c r="D15" s="1" t="s">
        <v>78</v>
      </c>
      <c r="E15" s="1"/>
      <c r="F15" s="2" t="s">
        <v>93</v>
      </c>
      <c r="G15" s="33">
        <v>14.666666666666666</v>
      </c>
      <c r="H15" s="33">
        <f t="shared" si="1"/>
        <v>73.333333333333329</v>
      </c>
      <c r="I15" s="1" t="s">
        <v>74</v>
      </c>
      <c r="J15" s="1"/>
      <c r="K15" s="2" t="s">
        <v>93</v>
      </c>
      <c r="L15" s="2">
        <v>2</v>
      </c>
      <c r="M15" s="33">
        <f t="shared" si="2"/>
        <v>13.333333333333334</v>
      </c>
      <c r="N15" s="1" t="s">
        <v>75</v>
      </c>
    </row>
    <row r="16" spans="1:24" x14ac:dyDescent="0.25">
      <c r="A16" s="2" t="s">
        <v>94</v>
      </c>
      <c r="B16" s="18">
        <v>10</v>
      </c>
      <c r="C16" s="33">
        <f t="shared" si="0"/>
        <v>66.666666666666671</v>
      </c>
      <c r="D16" s="1" t="s">
        <v>78</v>
      </c>
      <c r="E16" s="1"/>
      <c r="F16" s="2" t="s">
        <v>94</v>
      </c>
      <c r="G16" s="33">
        <v>3.3333333333333335</v>
      </c>
      <c r="H16" s="33">
        <f t="shared" si="1"/>
        <v>16.666666666666668</v>
      </c>
      <c r="I16" s="1" t="s">
        <v>75</v>
      </c>
      <c r="J16" s="1"/>
      <c r="K16" s="2" t="s">
        <v>94</v>
      </c>
      <c r="L16" s="26">
        <v>3</v>
      </c>
      <c r="M16" s="33">
        <f t="shared" si="2"/>
        <v>20</v>
      </c>
      <c r="N16" s="1" t="s">
        <v>75</v>
      </c>
    </row>
    <row r="17" spans="1:18" x14ac:dyDescent="0.25">
      <c r="A17" s="2" t="s">
        <v>95</v>
      </c>
      <c r="B17" s="1">
        <v>8</v>
      </c>
      <c r="C17" s="33">
        <f t="shared" si="0"/>
        <v>53.333333333333336</v>
      </c>
      <c r="D17" s="1" t="s">
        <v>78</v>
      </c>
      <c r="E17" s="1"/>
      <c r="F17" s="2" t="s">
        <v>95</v>
      </c>
      <c r="G17" s="33">
        <v>13.333333333333334</v>
      </c>
      <c r="H17" s="33">
        <f t="shared" si="1"/>
        <v>66.666666666666671</v>
      </c>
      <c r="I17" s="1" t="s">
        <v>78</v>
      </c>
      <c r="J17" s="1"/>
      <c r="K17" s="2" t="s">
        <v>95</v>
      </c>
      <c r="L17" s="2">
        <v>4</v>
      </c>
      <c r="M17" s="33">
        <f t="shared" si="2"/>
        <v>26.666666666666668</v>
      </c>
      <c r="N17" s="1" t="s">
        <v>75</v>
      </c>
    </row>
    <row r="18" spans="1:18" x14ac:dyDescent="0.25">
      <c r="A18" s="2" t="s">
        <v>96</v>
      </c>
      <c r="B18" s="1">
        <v>11</v>
      </c>
      <c r="C18" s="33">
        <f t="shared" si="0"/>
        <v>73.333333333333329</v>
      </c>
      <c r="D18" s="1" t="s">
        <v>74</v>
      </c>
      <c r="E18" s="1"/>
      <c r="F18" s="2" t="s">
        <v>96</v>
      </c>
      <c r="G18" s="33">
        <v>10.666666666666666</v>
      </c>
      <c r="H18" s="33">
        <f t="shared" si="1"/>
        <v>53.333333333333329</v>
      </c>
      <c r="I18" s="1" t="s">
        <v>78</v>
      </c>
      <c r="J18" s="1"/>
      <c r="K18" s="2" t="s">
        <v>96</v>
      </c>
      <c r="L18" s="2">
        <v>7</v>
      </c>
      <c r="M18" s="33">
        <f t="shared" si="2"/>
        <v>46.666666666666664</v>
      </c>
      <c r="N18" s="1" t="s">
        <v>75</v>
      </c>
    </row>
    <row r="19" spans="1:18" x14ac:dyDescent="0.25">
      <c r="A19" s="2" t="s">
        <v>97</v>
      </c>
      <c r="B19" s="1">
        <v>8</v>
      </c>
      <c r="C19" s="33">
        <f t="shared" si="0"/>
        <v>53.333333333333336</v>
      </c>
      <c r="D19" s="1" t="s">
        <v>78</v>
      </c>
      <c r="E19" s="1"/>
      <c r="F19" s="2" t="s">
        <v>97</v>
      </c>
      <c r="G19" s="33">
        <v>14</v>
      </c>
      <c r="H19" s="33">
        <f t="shared" si="1"/>
        <v>70</v>
      </c>
      <c r="I19" s="1" t="s">
        <v>74</v>
      </c>
      <c r="J19" s="1"/>
      <c r="K19" s="2" t="s">
        <v>97</v>
      </c>
      <c r="L19" s="2">
        <v>10</v>
      </c>
      <c r="M19" s="33">
        <f t="shared" si="2"/>
        <v>66.666666666666671</v>
      </c>
      <c r="N19" s="1" t="s">
        <v>78</v>
      </c>
    </row>
    <row r="20" spans="1:18" x14ac:dyDescent="0.25">
      <c r="A20" s="2" t="s">
        <v>98</v>
      </c>
      <c r="B20" s="1">
        <v>11</v>
      </c>
      <c r="C20" s="33">
        <f t="shared" si="0"/>
        <v>73.333333333333329</v>
      </c>
      <c r="D20" s="1" t="s">
        <v>74</v>
      </c>
      <c r="E20" s="1"/>
      <c r="F20" s="2" t="s">
        <v>98</v>
      </c>
      <c r="G20" s="33">
        <v>12</v>
      </c>
      <c r="H20" s="33">
        <f t="shared" si="1"/>
        <v>60</v>
      </c>
      <c r="I20" s="1" t="s">
        <v>78</v>
      </c>
      <c r="J20" s="1"/>
      <c r="K20" s="2" t="s">
        <v>98</v>
      </c>
      <c r="L20" s="2">
        <v>8</v>
      </c>
      <c r="M20" s="33">
        <f t="shared" si="2"/>
        <v>53.333333333333336</v>
      </c>
      <c r="N20" s="1" t="s">
        <v>78</v>
      </c>
    </row>
    <row r="21" spans="1:18" x14ac:dyDescent="0.25">
      <c r="A21" s="2" t="s">
        <v>99</v>
      </c>
      <c r="B21" s="1">
        <v>6</v>
      </c>
      <c r="C21" s="33">
        <f t="shared" si="0"/>
        <v>40</v>
      </c>
      <c r="D21" s="1" t="s">
        <v>75</v>
      </c>
      <c r="E21" s="1"/>
      <c r="F21" s="2" t="s">
        <v>99</v>
      </c>
      <c r="G21" s="33">
        <v>12</v>
      </c>
      <c r="H21" s="33">
        <f t="shared" si="1"/>
        <v>60</v>
      </c>
      <c r="I21" s="1" t="s">
        <v>78</v>
      </c>
      <c r="J21" s="1"/>
      <c r="K21" s="2" t="s">
        <v>99</v>
      </c>
      <c r="L21" s="2">
        <v>3</v>
      </c>
      <c r="M21" s="33">
        <f t="shared" si="2"/>
        <v>20</v>
      </c>
      <c r="N21" s="1" t="s">
        <v>75</v>
      </c>
    </row>
    <row r="22" spans="1:18" x14ac:dyDescent="0.25">
      <c r="A22" s="2" t="s">
        <v>100</v>
      </c>
      <c r="B22" s="1">
        <v>11</v>
      </c>
      <c r="C22" s="33">
        <f t="shared" si="0"/>
        <v>73.333333333333329</v>
      </c>
      <c r="D22" s="1" t="s">
        <v>74</v>
      </c>
      <c r="E22" s="1"/>
      <c r="F22" s="2" t="s">
        <v>100</v>
      </c>
      <c r="G22" s="33">
        <v>12.666666666666666</v>
      </c>
      <c r="H22" s="33">
        <f t="shared" si="1"/>
        <v>63.333333333333329</v>
      </c>
      <c r="I22" s="1" t="s">
        <v>78</v>
      </c>
      <c r="J22" s="1"/>
      <c r="K22" s="2" t="s">
        <v>100</v>
      </c>
      <c r="L22" s="2">
        <v>7</v>
      </c>
      <c r="M22" s="33">
        <f t="shared" si="2"/>
        <v>46.666666666666664</v>
      </c>
      <c r="N22" s="1" t="s">
        <v>75</v>
      </c>
    </row>
    <row r="23" spans="1:18" x14ac:dyDescent="0.25">
      <c r="A23" s="2" t="s">
        <v>101</v>
      </c>
      <c r="B23" s="1">
        <v>10</v>
      </c>
      <c r="C23" s="33">
        <f t="shared" si="0"/>
        <v>66.666666666666671</v>
      </c>
      <c r="D23" s="1" t="s">
        <v>78</v>
      </c>
      <c r="E23" s="1"/>
      <c r="F23" s="2" t="s">
        <v>101</v>
      </c>
      <c r="G23" s="33">
        <v>3.3333333333333335</v>
      </c>
      <c r="H23" s="33">
        <f t="shared" si="1"/>
        <v>16.666666666666668</v>
      </c>
      <c r="I23" s="1" t="s">
        <v>75</v>
      </c>
      <c r="J23" s="1"/>
      <c r="K23" s="2" t="s">
        <v>101</v>
      </c>
      <c r="L23" s="2">
        <v>4</v>
      </c>
      <c r="M23" s="33">
        <f t="shared" si="2"/>
        <v>26.666666666666668</v>
      </c>
      <c r="N23" s="1" t="s">
        <v>75</v>
      </c>
    </row>
    <row r="24" spans="1:18" x14ac:dyDescent="0.25">
      <c r="A24" s="2" t="s">
        <v>102</v>
      </c>
      <c r="B24" s="1">
        <v>7</v>
      </c>
      <c r="C24" s="33">
        <f t="shared" si="0"/>
        <v>46.666666666666664</v>
      </c>
      <c r="D24" s="1" t="s">
        <v>75</v>
      </c>
      <c r="E24" s="1"/>
      <c r="F24" s="2" t="s">
        <v>102</v>
      </c>
      <c r="G24" s="33">
        <v>12.666666666666666</v>
      </c>
      <c r="H24" s="33">
        <f t="shared" si="1"/>
        <v>63.333333333333329</v>
      </c>
      <c r="I24" s="1" t="s">
        <v>78</v>
      </c>
      <c r="J24" s="1"/>
      <c r="K24" s="2" t="s">
        <v>102</v>
      </c>
      <c r="L24" s="2">
        <v>3</v>
      </c>
      <c r="M24" s="33">
        <f t="shared" si="2"/>
        <v>20</v>
      </c>
      <c r="N24" s="1" t="s">
        <v>75</v>
      </c>
    </row>
    <row r="25" spans="1:18" x14ac:dyDescent="0.25">
      <c r="A25" s="2" t="s">
        <v>103</v>
      </c>
      <c r="B25" s="18">
        <v>6</v>
      </c>
      <c r="C25" s="33">
        <f t="shared" si="0"/>
        <v>40</v>
      </c>
      <c r="D25" s="1" t="s">
        <v>75</v>
      </c>
      <c r="E25" s="1"/>
      <c r="F25" s="2" t="s">
        <v>103</v>
      </c>
      <c r="G25" s="33">
        <v>10.666666666666666</v>
      </c>
      <c r="H25" s="33">
        <f t="shared" si="1"/>
        <v>53.333333333333329</v>
      </c>
      <c r="I25" s="1" t="s">
        <v>78</v>
      </c>
      <c r="J25" s="1"/>
      <c r="K25" s="2" t="s">
        <v>103</v>
      </c>
      <c r="L25" s="2">
        <v>11</v>
      </c>
      <c r="M25" s="33">
        <f t="shared" si="2"/>
        <v>73.333333333333329</v>
      </c>
      <c r="N25" s="1" t="s">
        <v>74</v>
      </c>
      <c r="R25" t="s">
        <v>38</v>
      </c>
    </row>
    <row r="26" spans="1:18" x14ac:dyDescent="0.25">
      <c r="A26" s="2" t="s">
        <v>104</v>
      </c>
      <c r="B26" s="1">
        <v>13</v>
      </c>
      <c r="C26" s="33">
        <f t="shared" si="0"/>
        <v>86.666666666666671</v>
      </c>
      <c r="D26" s="1" t="s">
        <v>89</v>
      </c>
      <c r="E26" s="1"/>
      <c r="F26" s="2" t="s">
        <v>104</v>
      </c>
      <c r="G26" s="33">
        <v>13.333333333333334</v>
      </c>
      <c r="H26" s="33">
        <f t="shared" si="1"/>
        <v>66.666666666666671</v>
      </c>
      <c r="I26" s="1" t="s">
        <v>78</v>
      </c>
      <c r="J26" s="1"/>
      <c r="K26" s="2" t="s">
        <v>104</v>
      </c>
      <c r="L26" s="2">
        <v>7</v>
      </c>
      <c r="M26" s="33">
        <f t="shared" si="2"/>
        <v>46.666666666666664</v>
      </c>
      <c r="N26" s="1" t="s">
        <v>75</v>
      </c>
    </row>
    <row r="27" spans="1:18" x14ac:dyDescent="0.25">
      <c r="A27" s="2" t="s">
        <v>105</v>
      </c>
      <c r="B27" s="1">
        <v>7</v>
      </c>
      <c r="C27" s="33">
        <f t="shared" si="0"/>
        <v>46.666666666666664</v>
      </c>
      <c r="D27" s="1" t="s">
        <v>75</v>
      </c>
      <c r="E27" s="1"/>
      <c r="F27" s="2" t="s">
        <v>105</v>
      </c>
      <c r="G27" s="33">
        <v>16</v>
      </c>
      <c r="H27" s="33">
        <f t="shared" si="1"/>
        <v>80</v>
      </c>
      <c r="I27" s="1" t="s">
        <v>89</v>
      </c>
      <c r="J27" s="1"/>
      <c r="K27" s="2" t="s">
        <v>105</v>
      </c>
      <c r="L27" s="2">
        <v>4</v>
      </c>
      <c r="M27" s="33">
        <f t="shared" si="2"/>
        <v>26.666666666666668</v>
      </c>
      <c r="N27" s="1" t="s">
        <v>75</v>
      </c>
    </row>
    <row r="28" spans="1:18" x14ac:dyDescent="0.25">
      <c r="A28" s="2" t="s">
        <v>106</v>
      </c>
      <c r="B28" s="1">
        <v>10</v>
      </c>
      <c r="C28" s="33">
        <f t="shared" si="0"/>
        <v>66.666666666666671</v>
      </c>
      <c r="D28" s="1" t="s">
        <v>78</v>
      </c>
      <c r="E28" s="1"/>
      <c r="F28" s="2" t="s">
        <v>106</v>
      </c>
      <c r="G28" s="33">
        <v>10.666666666666666</v>
      </c>
      <c r="H28" s="33">
        <f t="shared" si="1"/>
        <v>53.333333333333329</v>
      </c>
      <c r="I28" s="1" t="s">
        <v>78</v>
      </c>
      <c r="J28" s="1"/>
      <c r="K28" s="2" t="s">
        <v>106</v>
      </c>
      <c r="L28" s="26">
        <v>7</v>
      </c>
      <c r="M28" s="33">
        <f t="shared" si="2"/>
        <v>46.666666666666664</v>
      </c>
      <c r="N28" s="1" t="s">
        <v>75</v>
      </c>
    </row>
    <row r="29" spans="1:18" x14ac:dyDescent="0.25">
      <c r="A29" s="2" t="s">
        <v>107</v>
      </c>
      <c r="B29" s="1">
        <v>9</v>
      </c>
      <c r="C29" s="33">
        <f t="shared" si="0"/>
        <v>60</v>
      </c>
      <c r="D29" s="1" t="s">
        <v>78</v>
      </c>
      <c r="E29" s="1"/>
      <c r="F29" s="2" t="s">
        <v>107</v>
      </c>
      <c r="G29" s="33">
        <v>16</v>
      </c>
      <c r="H29" s="33">
        <f t="shared" si="1"/>
        <v>80</v>
      </c>
      <c r="I29" s="1" t="s">
        <v>89</v>
      </c>
      <c r="J29" s="1"/>
      <c r="K29" s="2" t="s">
        <v>107</v>
      </c>
      <c r="L29" s="2">
        <v>12</v>
      </c>
      <c r="M29" s="33">
        <f t="shared" si="2"/>
        <v>80</v>
      </c>
      <c r="N29" s="1" t="s">
        <v>89</v>
      </c>
    </row>
    <row r="30" spans="1:18" x14ac:dyDescent="0.25">
      <c r="A30" s="2" t="s">
        <v>108</v>
      </c>
      <c r="B30" s="10">
        <v>7</v>
      </c>
      <c r="C30" s="33">
        <f t="shared" si="0"/>
        <v>46.666666666666664</v>
      </c>
      <c r="D30" s="1" t="s">
        <v>75</v>
      </c>
      <c r="E30" s="1"/>
      <c r="F30" s="2" t="s">
        <v>108</v>
      </c>
      <c r="G30" s="33">
        <v>17.333333333333332</v>
      </c>
      <c r="H30" s="33">
        <f t="shared" si="1"/>
        <v>86.666666666666657</v>
      </c>
      <c r="I30" s="1" t="s">
        <v>89</v>
      </c>
      <c r="J30" s="1"/>
      <c r="K30" s="2" t="s">
        <v>108</v>
      </c>
      <c r="L30" s="2">
        <v>8</v>
      </c>
      <c r="M30" s="33">
        <f t="shared" si="2"/>
        <v>53.333333333333336</v>
      </c>
      <c r="N30" s="1" t="s">
        <v>78</v>
      </c>
    </row>
    <row r="31" spans="1:18" x14ac:dyDescent="0.25">
      <c r="A31" s="2" t="s">
        <v>109</v>
      </c>
      <c r="B31" s="10">
        <v>9</v>
      </c>
      <c r="C31" s="33">
        <f t="shared" si="0"/>
        <v>60</v>
      </c>
      <c r="D31" s="1" t="s">
        <v>78</v>
      </c>
      <c r="E31" s="1"/>
      <c r="F31" s="2" t="s">
        <v>109</v>
      </c>
      <c r="G31" s="33">
        <v>11.333333333333334</v>
      </c>
      <c r="H31" s="33">
        <f t="shared" si="1"/>
        <v>56.666666666666671</v>
      </c>
      <c r="I31" s="1" t="s">
        <v>78</v>
      </c>
      <c r="J31" s="1"/>
      <c r="K31" s="2" t="s">
        <v>109</v>
      </c>
      <c r="L31" s="2">
        <v>12</v>
      </c>
      <c r="M31" s="33">
        <f t="shared" si="2"/>
        <v>80</v>
      </c>
      <c r="N31" s="1" t="s">
        <v>89</v>
      </c>
    </row>
    <row r="32" spans="1:18" x14ac:dyDescent="0.25">
      <c r="A32" s="2" t="s">
        <v>110</v>
      </c>
      <c r="B32" s="10">
        <v>9</v>
      </c>
      <c r="C32" s="33">
        <f t="shared" si="0"/>
        <v>60</v>
      </c>
      <c r="D32" s="1" t="s">
        <v>78</v>
      </c>
      <c r="E32" s="1"/>
      <c r="F32" s="2" t="s">
        <v>110</v>
      </c>
      <c r="G32" s="33">
        <v>12</v>
      </c>
      <c r="H32" s="33">
        <f t="shared" si="1"/>
        <v>60</v>
      </c>
      <c r="I32" s="1" t="s">
        <v>78</v>
      </c>
      <c r="J32" s="1"/>
      <c r="K32" s="2" t="s">
        <v>110</v>
      </c>
      <c r="L32" s="34">
        <v>11</v>
      </c>
      <c r="M32" s="33">
        <f t="shared" si="2"/>
        <v>73.333333333333329</v>
      </c>
      <c r="N32" s="1" t="s">
        <v>74</v>
      </c>
    </row>
    <row r="33" spans="1:18" x14ac:dyDescent="0.25">
      <c r="A33" s="2" t="s">
        <v>111</v>
      </c>
      <c r="B33" s="10">
        <v>7</v>
      </c>
      <c r="C33" s="33">
        <f t="shared" si="0"/>
        <v>46.666666666666664</v>
      </c>
      <c r="D33" s="1" t="s">
        <v>75</v>
      </c>
      <c r="E33" s="1"/>
      <c r="F33" s="2" t="s">
        <v>111</v>
      </c>
      <c r="G33" s="33">
        <v>14.666666666666666</v>
      </c>
      <c r="H33" s="33">
        <f t="shared" si="1"/>
        <v>73.333333333333329</v>
      </c>
      <c r="I33" s="1" t="s">
        <v>74</v>
      </c>
      <c r="J33" s="1"/>
      <c r="K33" s="2" t="s">
        <v>111</v>
      </c>
      <c r="L33" s="2">
        <v>5</v>
      </c>
      <c r="M33" s="33">
        <f t="shared" si="2"/>
        <v>33.333333333333336</v>
      </c>
      <c r="N33" s="1" t="s">
        <v>75</v>
      </c>
    </row>
    <row r="34" spans="1:18" x14ac:dyDescent="0.25">
      <c r="A34" s="2" t="s">
        <v>112</v>
      </c>
      <c r="B34" s="25">
        <v>9</v>
      </c>
      <c r="C34" s="33">
        <f>B34*100/15</f>
        <v>60</v>
      </c>
      <c r="D34" s="1" t="s">
        <v>78</v>
      </c>
      <c r="E34" s="1"/>
      <c r="F34" s="2" t="s">
        <v>112</v>
      </c>
      <c r="G34" s="33">
        <v>14</v>
      </c>
      <c r="H34" s="33">
        <f t="shared" si="1"/>
        <v>70</v>
      </c>
      <c r="I34" s="1" t="s">
        <v>74</v>
      </c>
      <c r="J34" s="1"/>
      <c r="K34" s="2" t="s">
        <v>112</v>
      </c>
      <c r="L34" s="2">
        <v>7</v>
      </c>
      <c r="M34" s="33">
        <f t="shared" si="2"/>
        <v>46.666666666666664</v>
      </c>
      <c r="N34" s="1" t="s">
        <v>75</v>
      </c>
    </row>
    <row r="35" spans="1:18" x14ac:dyDescent="0.25">
      <c r="A35" s="2" t="s">
        <v>113</v>
      </c>
      <c r="B35" s="1"/>
      <c r="C35" s="1"/>
      <c r="D35" s="1"/>
      <c r="E35" s="1"/>
      <c r="F35" s="2" t="s">
        <v>113</v>
      </c>
      <c r="G35" s="33">
        <v>9.3333333333333339</v>
      </c>
      <c r="H35" s="33">
        <f t="shared" si="1"/>
        <v>46.666666666666671</v>
      </c>
      <c r="I35" s="1" t="s">
        <v>75</v>
      </c>
      <c r="J35" s="1"/>
      <c r="K35" s="2" t="s">
        <v>113</v>
      </c>
      <c r="L35" s="2">
        <v>13</v>
      </c>
      <c r="M35" s="33">
        <f t="shared" si="2"/>
        <v>86.666666666666671</v>
      </c>
      <c r="N35" s="1" t="s">
        <v>89</v>
      </c>
    </row>
    <row r="36" spans="1:18" x14ac:dyDescent="0.25">
      <c r="A36" s="2" t="s">
        <v>114</v>
      </c>
      <c r="B36" s="1"/>
      <c r="C36" s="1"/>
      <c r="D36" s="1"/>
      <c r="E36" s="1"/>
      <c r="F36" s="2" t="s">
        <v>114</v>
      </c>
      <c r="G36" s="33">
        <v>17.333333333333332</v>
      </c>
      <c r="H36" s="33">
        <f t="shared" si="1"/>
        <v>86.666666666666657</v>
      </c>
      <c r="I36" s="1" t="s">
        <v>89</v>
      </c>
      <c r="J36" s="1"/>
      <c r="K36" s="2" t="s">
        <v>114</v>
      </c>
      <c r="L36" s="37">
        <v>13</v>
      </c>
      <c r="M36" s="33">
        <f t="shared" si="2"/>
        <v>86.666666666666671</v>
      </c>
      <c r="N36" s="1" t="s">
        <v>89</v>
      </c>
    </row>
    <row r="37" spans="1:18" x14ac:dyDescent="0.25">
      <c r="A37" s="2" t="s">
        <v>115</v>
      </c>
      <c r="B37" s="1"/>
      <c r="C37" s="1"/>
      <c r="D37" s="1"/>
      <c r="E37" s="1"/>
      <c r="F37" s="2" t="s">
        <v>115</v>
      </c>
      <c r="G37" s="33">
        <v>15.333333333333334</v>
      </c>
      <c r="H37" s="33">
        <f t="shared" si="1"/>
        <v>76.666666666666671</v>
      </c>
      <c r="I37" s="1" t="s">
        <v>74</v>
      </c>
      <c r="J37" s="1"/>
      <c r="K37" s="2" t="s">
        <v>115</v>
      </c>
      <c r="L37" s="2"/>
      <c r="M37" s="1"/>
      <c r="N37" s="1"/>
    </row>
    <row r="38" spans="1:18" x14ac:dyDescent="0.25">
      <c r="A38" s="2" t="s">
        <v>116</v>
      </c>
      <c r="B38" s="1"/>
      <c r="C38" s="1"/>
      <c r="D38" s="1"/>
      <c r="E38" s="1"/>
      <c r="F38" s="2" t="s">
        <v>116</v>
      </c>
      <c r="G38" s="33">
        <v>19.333333333333332</v>
      </c>
      <c r="H38" s="33">
        <f t="shared" si="1"/>
        <v>96.666666666666657</v>
      </c>
      <c r="I38" s="1" t="s">
        <v>89</v>
      </c>
      <c r="J38" s="1"/>
      <c r="K38" s="2" t="s">
        <v>116</v>
      </c>
      <c r="L38" s="2"/>
      <c r="M38" s="1"/>
      <c r="N38" s="1"/>
    </row>
    <row r="39" spans="1:18" x14ac:dyDescent="0.25">
      <c r="A39" s="24" t="s">
        <v>117</v>
      </c>
      <c r="E39" s="7"/>
      <c r="F39" s="24" t="s">
        <v>117</v>
      </c>
      <c r="J39" s="7"/>
      <c r="K39" s="24" t="s">
        <v>117</v>
      </c>
    </row>
    <row r="40" spans="1:18" x14ac:dyDescent="0.25">
      <c r="A40" s="1"/>
      <c r="C40" s="7"/>
      <c r="D40" s="7"/>
      <c r="E40" s="7"/>
      <c r="F40" s="7"/>
      <c r="H40" s="7"/>
      <c r="I40" s="7"/>
      <c r="J40" s="7"/>
      <c r="K40" s="7"/>
      <c r="M40" s="7"/>
      <c r="N40" s="7"/>
    </row>
    <row r="42" spans="1:18" x14ac:dyDescent="0.25">
      <c r="R42" t="s">
        <v>65</v>
      </c>
    </row>
    <row r="62" spans="20:20" x14ac:dyDescent="0.25">
      <c r="T62" t="s">
        <v>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Class Performance</vt:lpstr>
      <vt:lpstr>ABET</vt:lpstr>
      <vt:lpstr>'Class Performance'!Print_Area</vt:lpstr>
      <vt:lpstr>Sheet1!Print_Area</vt:lpstr>
      <vt:lpstr>'Class Performance'!Print_Titles</vt:lpstr>
      <vt:lpstr>Sheet1!Print_Titles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shazzad</dc:creator>
  <cp:lastModifiedBy>lenovo</cp:lastModifiedBy>
  <cp:lastPrinted>2021-01-28T08:44:22Z</cp:lastPrinted>
  <dcterms:created xsi:type="dcterms:W3CDTF">2010-09-21T04:26:13Z</dcterms:created>
  <dcterms:modified xsi:type="dcterms:W3CDTF">2021-01-28T10:43:31Z</dcterms:modified>
</cp:coreProperties>
</file>